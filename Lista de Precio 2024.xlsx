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</sheets>
  <definedNames/>
  <calcPr/>
  <extLst>
    <ext uri="GoogleSheetsCustomDataVersion2">
      <go:sheetsCustomData xmlns:go="http://customooxmlschemas.google.com/" r:id="rId6" roundtripDataChecksum="oPYk3xOSqJwb1QndXd3UZ+zWH4SbKOziNchHScLkPfs="/>
    </ext>
  </extLst>
</workbook>
</file>

<file path=xl/sharedStrings.xml><?xml version="1.0" encoding="utf-8"?>
<sst xmlns="http://schemas.openxmlformats.org/spreadsheetml/2006/main" count="275" uniqueCount="117">
  <si>
    <t xml:space="preserve">LINEA DE BOLSAS PARA HIELO </t>
  </si>
  <si>
    <r>
      <rPr>
        <rFont val="Arial Rounded"/>
        <b/>
        <color theme="1"/>
        <sz val="12.0"/>
      </rPr>
      <t>" ESTANDAR " -</t>
    </r>
    <r>
      <rPr>
        <rFont val="Arial Rounded MT Bold"/>
        <b/>
        <color theme="1"/>
        <sz val="10.0"/>
      </rPr>
      <t xml:space="preserve"> </t>
    </r>
    <r>
      <rPr>
        <rFont val="Arial Rounded MT Bold"/>
        <b val="0"/>
        <color rgb="FF7F7F7F"/>
        <sz val="9.0"/>
      </rPr>
      <t>" Primera  calidad nunca fallan"</t>
    </r>
  </si>
  <si>
    <t>Codigo</t>
  </si>
  <si>
    <t>Descripcion del Producto</t>
  </si>
  <si>
    <t>Bulto</t>
  </si>
  <si>
    <t>Paquete</t>
  </si>
  <si>
    <t xml:space="preserve">$ x Unidad       </t>
  </si>
  <si>
    <t>$ x Paquete</t>
  </si>
  <si>
    <t>HL-ES-2030</t>
  </si>
  <si>
    <t xml:space="preserve">      Bolsa Cristal 20x30 CM para 1 Kg aproximado</t>
  </si>
  <si>
    <t xml:space="preserve">     30         Paquetes</t>
  </si>
  <si>
    <t xml:space="preserve">    100           Bolsas</t>
  </si>
  <si>
    <t>HL-ES-2550</t>
  </si>
  <si>
    <t xml:space="preserve">      Bolsa Cristal 25x50 CM para 2 Kg aproximado</t>
  </si>
  <si>
    <t xml:space="preserve">     20         Paquetes</t>
  </si>
  <si>
    <t>HL-ES-3060</t>
  </si>
  <si>
    <t xml:space="preserve">      Bolsa Cristal 30x60 CM para 3,5 Kg aproximado</t>
  </si>
  <si>
    <t>HL-ES-3560</t>
  </si>
  <si>
    <t xml:space="preserve">      Bolsa Cristal 35x60 CM para 4 Kg aproximado</t>
  </si>
  <si>
    <t xml:space="preserve">     10         Paquetes</t>
  </si>
  <si>
    <t>HL-ES-4060</t>
  </si>
  <si>
    <t xml:space="preserve">      Bolsa Cristal 40x60 CM para 7 Kg aproximado</t>
  </si>
  <si>
    <t>HL-ES-4080</t>
  </si>
  <si>
    <t xml:space="preserve">      Bolsa Cristal 40x80 CM para 12 Kg aproximado</t>
  </si>
  <si>
    <t>HL-ES-4090</t>
  </si>
  <si>
    <t xml:space="preserve">      Bolsa Cristal 40x90 CM para 15 Kg aproximado</t>
  </si>
  <si>
    <t>Bolsas con 50 micrones de espesor- Sin Fuelle</t>
  </si>
  <si>
    <r>
      <rPr>
        <rFont val="Arial Rounded"/>
        <b/>
        <color theme="1"/>
        <sz val="12.0"/>
      </rPr>
      <t xml:space="preserve">" REFORZADO " - </t>
    </r>
    <r>
      <rPr>
        <rFont val="Arial Rounded MT Bold"/>
        <b val="0"/>
        <color rgb="FF7F7F7F"/>
        <sz val="10.0"/>
      </rPr>
      <t>"Primera calidad , Inrrompibles "</t>
    </r>
  </si>
  <si>
    <t>HL-R-2030</t>
  </si>
  <si>
    <t>HL-R-2550</t>
  </si>
  <si>
    <t>HL-R-3060</t>
  </si>
  <si>
    <t>HL-R-3560</t>
  </si>
  <si>
    <t>HL-R-4060</t>
  </si>
  <si>
    <t>HL-R-4080</t>
  </si>
  <si>
    <t>HL-R-4090</t>
  </si>
  <si>
    <t>Bolsas con 70 micrones de espesor- Sin Fuelle</t>
  </si>
  <si>
    <t>LINEA DE BOLSAS PARA CARBON Y LEÑA</t>
  </si>
  <si>
    <r>
      <rPr>
        <rFont val="Arial Rounded"/>
        <b/>
        <color theme="1"/>
        <sz val="12.0"/>
      </rPr>
      <t xml:space="preserve">"SUPER RESISTENTES"- </t>
    </r>
    <r>
      <rPr>
        <rFont val="Arial Rounded MT Bold"/>
        <b val="0"/>
        <color rgb="FF7F7F7F"/>
        <sz val="10.0"/>
      </rPr>
      <t>"Soportan los filos, no se cortan!</t>
    </r>
  </si>
  <si>
    <t>CB-NL-3460</t>
  </si>
  <si>
    <t xml:space="preserve">     Bolsa NO CAMISETA 34x60 CM para 4kg aproximado</t>
  </si>
  <si>
    <t xml:space="preserve">     15          Paquetes</t>
  </si>
  <si>
    <t xml:space="preserve">    100            Bolsas</t>
  </si>
  <si>
    <t>CB-NL-4480</t>
  </si>
  <si>
    <t xml:space="preserve">     Bolsa NO CAMISETA 44x80 CM para 10kg aproximado</t>
  </si>
  <si>
    <t xml:space="preserve">     20          Paquetes</t>
  </si>
  <si>
    <t xml:space="preserve">      50            Bolsas</t>
  </si>
  <si>
    <t>CB-Cl-4480</t>
  </si>
  <si>
    <t xml:space="preserve">     Bolsa CAMISETA 38x60 CM para 4kg aproximado</t>
  </si>
  <si>
    <t>CB-Cl-4980</t>
  </si>
  <si>
    <t xml:space="preserve">     Bolsa CAMISETA 49x80 CM para 10kg aproximado</t>
  </si>
  <si>
    <t>Bolsas 34x60 - 38x60 en 60 micrones----- Bolsas 44x80 y 49x80 en 80 micrones</t>
  </si>
  <si>
    <r>
      <rPr>
        <rFont val="Arial Rounded"/>
        <b/>
        <color theme="1"/>
        <sz val="12.0"/>
      </rPr>
      <t xml:space="preserve">" IDEAL PARA ATAR"-  </t>
    </r>
    <r>
      <rPr>
        <rFont val="Arial Rounded MT Bold"/>
        <b val="0"/>
        <color rgb="FF7F7F7F"/>
        <sz val="10.0"/>
      </rPr>
      <t>" Simple y resistente"</t>
    </r>
  </si>
  <si>
    <t>LÑ-CL-4075</t>
  </si>
  <si>
    <t xml:space="preserve">    Bolsa TIPO CAMISETA 40x75 CM para ATAR  </t>
  </si>
  <si>
    <t xml:space="preserve">      20        Paquetes</t>
  </si>
  <si>
    <t xml:space="preserve">       50           Bolsas</t>
  </si>
  <si>
    <t>Bolsa con 80 micrones de espesor</t>
  </si>
  <si>
    <t>LINEA ESCOMBRO-ARENA-PIEDRA-ETC</t>
  </si>
  <si>
    <t>ES-CR-255</t>
  </si>
  <si>
    <t xml:space="preserve">Bolsa Polietileno Reciclado 25x55 CM </t>
  </si>
  <si>
    <t>ES-CR-4070</t>
  </si>
  <si>
    <t xml:space="preserve">Bolsa Polietileno Reciclado 40x70 CM </t>
  </si>
  <si>
    <t xml:space="preserve">     10          Paquetes</t>
  </si>
  <si>
    <t>ES-CR-6080</t>
  </si>
  <si>
    <t xml:space="preserve">Bolsa Polietileno Reciclado 60x80 CM </t>
  </si>
  <si>
    <t>25x55 y 40x70 en 70 micrones - 60x80 en 80 micrones</t>
  </si>
  <si>
    <t>LINEA DE BOLSAS RESIDUALES ECONOMICAS</t>
  </si>
  <si>
    <r>
      <rPr>
        <rFont val="Arial Rounded"/>
        <b/>
        <color theme="1"/>
        <sz val="12.0"/>
      </rPr>
      <t xml:space="preserve">" ECONOMICAS" -  </t>
    </r>
    <r>
      <rPr>
        <rFont val="Arial Rounded MT Bold"/>
        <b val="0"/>
        <color rgb="FF7F7F7F"/>
        <sz val="12.0"/>
      </rPr>
      <t>"muy buenas"</t>
    </r>
  </si>
  <si>
    <t>ECO-4560</t>
  </si>
  <si>
    <t xml:space="preserve">                Bolsa de Consorcio 45x60 CM</t>
  </si>
  <si>
    <t xml:space="preserve">     50          Paquetes</t>
  </si>
  <si>
    <t xml:space="preserve">      30            Bolsas</t>
  </si>
  <si>
    <t>ECO-5070</t>
  </si>
  <si>
    <t xml:space="preserve">                Bolsa de Consorcio 50x70 CM</t>
  </si>
  <si>
    <t>ECO-6090</t>
  </si>
  <si>
    <t xml:space="preserve">                Bolsa de Consorcio 60x90 CM</t>
  </si>
  <si>
    <t xml:space="preserve">      20            Bolsas</t>
  </si>
  <si>
    <t>ECO-80110</t>
  </si>
  <si>
    <t xml:space="preserve">                Bolsa de Consorcio 80x110 CM</t>
  </si>
  <si>
    <t xml:space="preserve">     25          Paquetes</t>
  </si>
  <si>
    <t>LINEA DE BOLSAS RESIDUALES SUPER REFORZADAS</t>
  </si>
  <si>
    <r>
      <rPr>
        <rFont val="Arial Rounded"/>
        <b/>
        <color theme="1"/>
        <sz val="12.0"/>
      </rPr>
      <t>" INRROMPIBLES " -</t>
    </r>
    <r>
      <rPr>
        <rFont val="Arial Rounded MT Bold"/>
        <b/>
        <color theme="1"/>
        <sz val="10.0"/>
      </rPr>
      <t xml:space="preserve"> </t>
    </r>
    <r>
      <rPr>
        <rFont val="Arial Rounded MT Bold"/>
        <b val="0"/>
        <color rgb="FF7F7F7F"/>
        <sz val="9.0"/>
      </rPr>
      <t>" Primera  calidad nunca fallan"</t>
    </r>
  </si>
  <si>
    <t>REF-4560</t>
  </si>
  <si>
    <t>REF-5070</t>
  </si>
  <si>
    <t xml:space="preserve">      10            Bolsas</t>
  </si>
  <si>
    <t>REF-6090</t>
  </si>
  <si>
    <t>REF-80110</t>
  </si>
  <si>
    <t>REF-90120</t>
  </si>
  <si>
    <t xml:space="preserve">                Bolsa de Consorcio 90x120 CM</t>
  </si>
  <si>
    <t>Especificacion</t>
  </si>
  <si>
    <t>Medidas</t>
  </si>
  <si>
    <t>Peso</t>
  </si>
  <si>
    <t>Valor u$s</t>
  </si>
  <si>
    <t>Valor por Kg</t>
  </si>
  <si>
    <t>Valor Pesos</t>
  </si>
  <si>
    <t>Valor por Kg Venta</t>
  </si>
  <si>
    <t>Valor Venta</t>
  </si>
  <si>
    <t>Valor Unidad</t>
  </si>
  <si>
    <t>Ancho x Largo x Micronaje x Peso espec</t>
  </si>
  <si>
    <t>x1000 uni</t>
  </si>
  <si>
    <t>Hielo-         1 Kg</t>
  </si>
  <si>
    <t>Hielo-         3 Kg</t>
  </si>
  <si>
    <t>Hielo-         4 Kg</t>
  </si>
  <si>
    <t>Hielo-          5 Kg</t>
  </si>
  <si>
    <t>Hielo-          7 Kg</t>
  </si>
  <si>
    <t>Hielo-          10 Kg</t>
  </si>
  <si>
    <t>Hielo-          15 Kg</t>
  </si>
  <si>
    <t xml:space="preserve">Carbon 4 Kg Liso </t>
  </si>
  <si>
    <t>Carbon 4 Kg Camiseta</t>
  </si>
  <si>
    <t xml:space="preserve">Carbon 10 Kg Liso </t>
  </si>
  <si>
    <t xml:space="preserve">Carbon 10 Kg Camiseta </t>
  </si>
  <si>
    <t xml:space="preserve">Leña 10 Kg </t>
  </si>
  <si>
    <t>Escombro chica</t>
  </si>
  <si>
    <t>Escombro Mediana</t>
  </si>
  <si>
    <t>Escombro Grande</t>
  </si>
  <si>
    <t>Residuo Economico</t>
  </si>
  <si>
    <t>Residuo Reforzado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</si>
</sst>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$&quot;\ * #,##0.00_-;\-&quot;$&quot;\ * #,##0.00_-;_-&quot;$&quot;\ * &quot;-&quot;??_-;_-@"/>
    <numFmt numFmtId="165" formatCode="&quot;$&quot;\ #,##0.00"/>
    <numFmt numFmtId="166" formatCode="&quot;$&quot;\ #,##0;[Red]\-&quot;$&quot;\ #,##0"/>
  </numFmts>
  <fonts count="23">
    <font>
      <sz val="11.0"/>
      <color theme="1"/>
      <name val="Calibri"/>
      <scheme val="minor"/>
    </font>
    <font>
      <sz val="10.0"/>
      <color theme="1"/>
      <name val="Calibri"/>
    </font>
    <font>
      <b/>
      <sz val="12.0"/>
      <color theme="0"/>
      <name val="Arial Rounded"/>
    </font>
    <font/>
    <font>
      <sz val="12.0"/>
      <color theme="1"/>
      <name val="Calibri"/>
    </font>
    <font>
      <b/>
      <sz val="12.0"/>
      <color theme="1"/>
      <name val="Arial Rounded"/>
    </font>
    <font>
      <b/>
      <sz val="11.0"/>
      <color theme="0"/>
      <name val="Arial Rounded"/>
    </font>
    <font>
      <b/>
      <sz val="12.0"/>
      <color theme="0"/>
      <name val="Calibri"/>
    </font>
    <font>
      <sz val="11.0"/>
      <color theme="1"/>
      <name val="Arial"/>
    </font>
    <font>
      <sz val="8.0"/>
      <color theme="1"/>
      <name val="Calibri"/>
    </font>
    <font>
      <sz val="11.0"/>
      <color theme="1"/>
      <name val="Calibri"/>
    </font>
    <font>
      <sz val="9.0"/>
      <color theme="1"/>
      <name val="Calibri"/>
    </font>
    <font>
      <sz val="8.0"/>
      <color theme="0"/>
      <name val="Calibri"/>
    </font>
    <font>
      <b/>
      <sz val="18.0"/>
      <color theme="1"/>
      <name val="Calibri"/>
    </font>
    <font>
      <sz val="14.0"/>
      <color theme="1"/>
      <name val="Arial"/>
    </font>
    <font>
      <sz val="16.0"/>
      <color theme="1"/>
      <name val="Arial"/>
    </font>
    <font>
      <sz val="18.0"/>
      <color theme="1"/>
      <name val="Calibri"/>
    </font>
    <font>
      <sz val="11.0"/>
      <color theme="0"/>
      <name val="Calibri"/>
    </font>
    <font>
      <sz val="14.0"/>
      <color theme="0"/>
      <name val="Calibri"/>
    </font>
    <font>
      <b/>
      <sz val="16.0"/>
      <color theme="1"/>
      <name val="Calibri"/>
    </font>
    <font>
      <b/>
      <sz val="18.0"/>
      <color theme="1"/>
      <name val="Arial"/>
    </font>
    <font>
      <b/>
      <sz val="14.0"/>
      <color theme="1"/>
      <name val="Arial"/>
    </font>
    <font>
      <b/>
      <sz val="16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3F3F3F"/>
        <bgColor rgb="FF3F3F3F"/>
      </patternFill>
    </fill>
    <fill>
      <patternFill patternType="solid">
        <fgColor rgb="FF99FF66"/>
        <bgColor rgb="FF99FF66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595959"/>
        <bgColor rgb="FF595959"/>
      </patternFill>
    </fill>
    <fill>
      <patternFill patternType="solid">
        <fgColor rgb="FFF4B083"/>
        <bgColor rgb="FFF4B083"/>
      </patternFill>
    </fill>
    <fill>
      <patternFill patternType="solid">
        <fgColor rgb="FF00B050"/>
        <bgColor rgb="FF00B050"/>
      </patternFill>
    </fill>
  </fills>
  <borders count="35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/>
      <bottom/>
    </border>
    <border>
      <left/>
      <right/>
      <top/>
      <bottom/>
    </border>
    <border>
      <top/>
      <bottom/>
    </border>
    <border>
      <right/>
      <top/>
      <bottom/>
    </border>
    <border>
      <left style="thin">
        <color rgb="FF000000"/>
      </left>
      <top/>
    </border>
    <border>
      <right style="thin">
        <color rgb="FF000000"/>
      </right>
      <top/>
    </border>
    <border>
      <left style="thin">
        <color rgb="FF000000"/>
      </left>
      <bottom/>
    </border>
    <border>
      <right style="thin">
        <color rgb="FF000000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1" numFmtId="0" xfId="0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0" fontId="4" numFmtId="0" xfId="0" applyFont="1"/>
    <xf borderId="1" fillId="3" fontId="5" numFmtId="0" xfId="0" applyAlignment="1" applyBorder="1" applyFill="1" applyFont="1">
      <alignment horizontal="center" vertical="center"/>
    </xf>
    <xf borderId="7" fillId="4" fontId="4" numFmtId="0" xfId="0" applyBorder="1" applyFill="1" applyFont="1"/>
    <xf borderId="8" fillId="5" fontId="6" numFmtId="0" xfId="0" applyAlignment="1" applyBorder="1" applyFill="1" applyFont="1">
      <alignment horizontal="center"/>
    </xf>
    <xf borderId="9" fillId="5" fontId="7" numFmtId="0" xfId="0" applyAlignment="1" applyBorder="1" applyFont="1">
      <alignment horizontal="center"/>
    </xf>
    <xf borderId="10" fillId="0" fontId="3" numFmtId="0" xfId="0" applyBorder="1" applyFont="1"/>
    <xf borderId="8" fillId="5" fontId="7" numFmtId="0" xfId="0" applyAlignment="1" applyBorder="1" applyFont="1">
      <alignment horizontal="center"/>
    </xf>
    <xf borderId="8" fillId="5" fontId="7" numFmtId="0" xfId="0" applyBorder="1" applyFont="1"/>
    <xf borderId="11" fillId="0" fontId="4" numFmtId="0" xfId="0" applyBorder="1" applyFont="1"/>
    <xf borderId="12" fillId="0" fontId="4" numFmtId="0" xfId="0" applyAlignment="1" applyBorder="1" applyFont="1">
      <alignment horizontal="left" vertical="center"/>
    </xf>
    <xf borderId="13" fillId="0" fontId="3" numFmtId="0" xfId="0" applyBorder="1" applyFont="1"/>
    <xf borderId="11" fillId="0" fontId="4" numFmtId="0" xfId="0" applyAlignment="1" applyBorder="1" applyFont="1">
      <alignment horizontal="left"/>
    </xf>
    <xf borderId="11" fillId="0" fontId="8" numFmtId="2" xfId="0" applyAlignment="1" applyBorder="1" applyFont="1" applyNumberFormat="1">
      <alignment horizontal="left"/>
    </xf>
    <xf borderId="11" fillId="0" fontId="4" numFmtId="164" xfId="0" applyAlignment="1" applyBorder="1" applyFont="1" applyNumberFormat="1">
      <alignment horizontal="center" vertical="center"/>
    </xf>
    <xf borderId="11" fillId="0" fontId="4" numFmtId="164" xfId="0" applyBorder="1" applyFont="1" applyNumberFormat="1"/>
    <xf borderId="8" fillId="6" fontId="4" numFmtId="0" xfId="0" applyBorder="1" applyFill="1" applyFont="1"/>
    <xf borderId="14" fillId="6" fontId="4" numFmtId="0" xfId="0" applyAlignment="1" applyBorder="1" applyFont="1">
      <alignment horizontal="left" vertical="center"/>
    </xf>
    <xf borderId="8" fillId="6" fontId="4" numFmtId="0" xfId="0" applyAlignment="1" applyBorder="1" applyFont="1">
      <alignment horizontal="left"/>
    </xf>
    <xf borderId="8" fillId="6" fontId="8" numFmtId="2" xfId="0" applyAlignment="1" applyBorder="1" applyFont="1" applyNumberFormat="1">
      <alignment horizontal="left"/>
    </xf>
    <xf borderId="8" fillId="6" fontId="4" numFmtId="164" xfId="0" applyAlignment="1" applyBorder="1" applyFont="1" applyNumberFormat="1">
      <alignment horizontal="center" vertical="center"/>
    </xf>
    <xf borderId="15" fillId="4" fontId="4" numFmtId="0" xfId="0" applyBorder="1" applyFont="1"/>
    <xf borderId="9" fillId="5" fontId="9" numFmtId="0" xfId="0" applyAlignment="1" applyBorder="1" applyFont="1">
      <alignment horizontal="center"/>
    </xf>
    <xf borderId="16" fillId="0" fontId="3" numFmtId="0" xfId="0" applyBorder="1" applyFont="1"/>
    <xf borderId="17" fillId="0" fontId="3" numFmtId="0" xfId="0" applyBorder="1" applyFont="1"/>
    <xf borderId="18" fillId="3" fontId="5" numFmtId="0" xfId="0" applyAlignment="1" applyBorder="1" applyFont="1">
      <alignment horizontal="center" vertical="center"/>
    </xf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8" fillId="6" fontId="4" numFmtId="164" xfId="0" applyBorder="1" applyFont="1" applyNumberFormat="1"/>
    <xf borderId="8" fillId="4" fontId="4" numFmtId="164" xfId="0" applyBorder="1" applyFont="1" applyNumberFormat="1"/>
    <xf borderId="15" fillId="4" fontId="10" numFmtId="0" xfId="0" applyBorder="1" applyFont="1"/>
    <xf borderId="15" fillId="7" fontId="9" numFmtId="0" xfId="0" applyAlignment="1" applyBorder="1" applyFill="1" applyFont="1">
      <alignment horizontal="center"/>
    </xf>
    <xf borderId="9" fillId="5" fontId="11" numFmtId="0" xfId="0" applyAlignment="1" applyBorder="1" applyFont="1">
      <alignment horizontal="center"/>
    </xf>
    <xf borderId="14" fillId="5" fontId="7" numFmtId="0" xfId="0" applyAlignment="1" applyBorder="1" applyFont="1">
      <alignment horizontal="center"/>
    </xf>
    <xf borderId="15" fillId="7" fontId="12" numFmtId="0" xfId="0" applyAlignment="1" applyBorder="1" applyFont="1">
      <alignment horizontal="center"/>
    </xf>
    <xf borderId="18" fillId="8" fontId="2" numFmtId="0" xfId="0" applyAlignment="1" applyBorder="1" applyFill="1" applyFont="1">
      <alignment horizontal="center" vertical="center"/>
    </xf>
    <xf borderId="15" fillId="7" fontId="10" numFmtId="0" xfId="0" applyBorder="1" applyFont="1"/>
    <xf borderId="22" fillId="0" fontId="13" numFmtId="0" xfId="0" applyAlignment="1" applyBorder="1" applyFont="1">
      <alignment horizontal="center" vertical="center"/>
    </xf>
    <xf borderId="23" fillId="0" fontId="13" numFmtId="0" xfId="0" applyAlignment="1" applyBorder="1" applyFont="1">
      <alignment horizontal="center" vertical="center"/>
    </xf>
    <xf borderId="24" fillId="0" fontId="3" numFmtId="0" xfId="0" applyBorder="1" applyFont="1"/>
    <xf borderId="25" fillId="0" fontId="3" numFmtId="0" xfId="0" applyBorder="1" applyFont="1"/>
    <xf borderId="24" fillId="0" fontId="13" numFmtId="0" xfId="0" applyAlignment="1" applyBorder="1" applyFont="1">
      <alignment horizontal="center" vertical="center"/>
    </xf>
    <xf borderId="23" fillId="0" fontId="13" numFmtId="0" xfId="0" applyAlignment="1" applyBorder="1" applyFont="1">
      <alignment horizontal="center"/>
    </xf>
    <xf borderId="22" fillId="0" fontId="14" numFmtId="0" xfId="0" applyBorder="1" applyFont="1"/>
    <xf borderId="22" fillId="0" fontId="15" numFmtId="0" xfId="0" applyAlignment="1" applyBorder="1" applyFont="1">
      <alignment horizontal="center"/>
    </xf>
    <xf borderId="23" fillId="0" fontId="15" numFmtId="0" xfId="0" applyAlignment="1" applyBorder="1" applyFont="1">
      <alignment horizontal="center"/>
    </xf>
    <xf borderId="22" fillId="0" fontId="14" numFmtId="0" xfId="0" applyAlignment="1" applyBorder="1" applyFont="1">
      <alignment horizontal="center"/>
    </xf>
    <xf borderId="15" fillId="7" fontId="16" numFmtId="0" xfId="0" applyBorder="1" applyFont="1"/>
    <xf borderId="26" fillId="7" fontId="17" numFmtId="0" xfId="0" applyAlignment="1" applyBorder="1" applyFont="1">
      <alignment horizontal="center"/>
    </xf>
    <xf borderId="27" fillId="0" fontId="3" numFmtId="0" xfId="0" applyBorder="1" applyFont="1"/>
    <xf borderId="28" fillId="7" fontId="18" numFmtId="0" xfId="0" applyAlignment="1" applyBorder="1" applyFont="1">
      <alignment horizontal="center"/>
    </xf>
    <xf borderId="22" fillId="9" fontId="19" numFmtId="165" xfId="0" applyAlignment="1" applyBorder="1" applyFill="1" applyFont="1" applyNumberFormat="1">
      <alignment horizontal="center"/>
    </xf>
    <xf borderId="22" fillId="9" fontId="20" numFmtId="165" xfId="0" applyAlignment="1" applyBorder="1" applyFont="1" applyNumberFormat="1">
      <alignment horizontal="center"/>
    </xf>
    <xf borderId="15" fillId="10" fontId="19" numFmtId="9" xfId="0" applyAlignment="1" applyBorder="1" applyFill="1" applyFont="1" applyNumberFormat="1">
      <alignment horizontal="center"/>
    </xf>
    <xf borderId="22" fillId="9" fontId="19" numFmtId="0" xfId="0" applyAlignment="1" applyBorder="1" applyFont="1">
      <alignment horizontal="center"/>
    </xf>
    <xf borderId="29" fillId="0" fontId="13" numFmtId="0" xfId="0" applyAlignment="1" applyBorder="1" applyFont="1">
      <alignment horizontal="left"/>
    </xf>
    <xf borderId="22" fillId="0" fontId="20" numFmtId="0" xfId="0" applyAlignment="1" applyBorder="1" applyFont="1">
      <alignment horizontal="center" vertical="center"/>
    </xf>
    <xf borderId="22" fillId="0" fontId="20" numFmtId="0" xfId="0" applyAlignment="1" applyBorder="1" applyFont="1">
      <alignment horizontal="center"/>
    </xf>
    <xf borderId="22" fillId="0" fontId="20" numFmtId="165" xfId="0" applyAlignment="1" applyBorder="1" applyFont="1" applyNumberFormat="1">
      <alignment horizontal="center"/>
    </xf>
    <xf borderId="22" fillId="10" fontId="20" numFmtId="165" xfId="0" applyAlignment="1" applyBorder="1" applyFont="1" applyNumberFormat="1">
      <alignment horizontal="center"/>
    </xf>
    <xf borderId="30" fillId="0" fontId="13" numFmtId="0" xfId="0" applyAlignment="1" applyBorder="1" applyFont="1">
      <alignment horizontal="left"/>
    </xf>
    <xf borderId="31" fillId="0" fontId="13" numFmtId="0" xfId="0" applyAlignment="1" applyBorder="1" applyFont="1">
      <alignment horizontal="left"/>
    </xf>
    <xf borderId="32" fillId="0" fontId="20" numFmtId="0" xfId="0" applyAlignment="1" applyBorder="1" applyFont="1">
      <alignment horizontal="center" vertical="center"/>
    </xf>
    <xf borderId="22" fillId="0" fontId="19" numFmtId="0" xfId="0" applyAlignment="1" applyBorder="1" applyFont="1">
      <alignment horizontal="left"/>
    </xf>
    <xf borderId="22" fillId="0" fontId="19" numFmtId="0" xfId="0" applyAlignment="1" applyBorder="1" applyFont="1">
      <alignment horizontal="left" vertical="center"/>
    </xf>
    <xf borderId="15" fillId="7" fontId="19" numFmtId="0" xfId="0" applyAlignment="1" applyBorder="1" applyFont="1">
      <alignment horizontal="left" vertical="center"/>
    </xf>
    <xf borderId="15" fillId="7" fontId="20" numFmtId="0" xfId="0" applyAlignment="1" applyBorder="1" applyFont="1">
      <alignment horizontal="center" vertical="center"/>
    </xf>
    <xf borderId="15" fillId="7" fontId="20" numFmtId="0" xfId="0" applyAlignment="1" applyBorder="1" applyFont="1">
      <alignment horizontal="center"/>
    </xf>
    <xf borderId="15" fillId="7" fontId="20" numFmtId="165" xfId="0" applyAlignment="1" applyBorder="1" applyFont="1" applyNumberFormat="1">
      <alignment horizontal="center"/>
    </xf>
    <xf borderId="0" fillId="0" fontId="13" numFmtId="0" xfId="0" applyAlignment="1" applyFont="1">
      <alignment horizontal="center" vertical="center"/>
    </xf>
    <xf borderId="22" fillId="9" fontId="21" numFmtId="164" xfId="0" applyBorder="1" applyFont="1" applyNumberFormat="1"/>
    <xf borderId="22" fillId="9" fontId="22" numFmtId="166" xfId="0" applyAlignment="1" applyBorder="1" applyFont="1" applyNumberFormat="1">
      <alignment horizontal="center"/>
    </xf>
    <xf borderId="33" fillId="9" fontId="22" numFmtId="164" xfId="0" applyAlignment="1" applyBorder="1" applyFont="1" applyNumberFormat="1">
      <alignment horizontal="center"/>
    </xf>
    <xf borderId="33" fillId="10" fontId="22" numFmtId="9" xfId="0" applyAlignment="1" applyBorder="1" applyFont="1" applyNumberFormat="1">
      <alignment horizontal="center"/>
    </xf>
    <xf borderId="22" fillId="9" fontId="14" numFmtId="0" xfId="0" applyAlignment="1" applyBorder="1" applyFont="1">
      <alignment horizontal="center"/>
    </xf>
    <xf borderId="33" fillId="9" fontId="15" numFmtId="164" xfId="0" applyAlignment="1" applyBorder="1" applyFont="1" applyNumberFormat="1">
      <alignment horizontal="center"/>
    </xf>
    <xf borderId="32" fillId="0" fontId="20" numFmtId="0" xfId="0" applyAlignment="1" applyBorder="1" applyFont="1">
      <alignment horizontal="center"/>
    </xf>
    <xf borderId="32" fillId="0" fontId="20" numFmtId="165" xfId="0" applyAlignment="1" applyBorder="1" applyFont="1" applyNumberFormat="1">
      <alignment horizontal="center"/>
    </xf>
    <xf borderId="34" fillId="0" fontId="13" numFmtId="0" xfId="0" applyAlignment="1" applyBorder="1" applyFont="1">
      <alignment horizontal="left"/>
    </xf>
    <xf borderId="34" fillId="0" fontId="20" numFmtId="0" xfId="0" applyAlignment="1" applyBorder="1" applyFont="1">
      <alignment horizontal="center"/>
    </xf>
    <xf borderId="34" fillId="0" fontId="20" numFmtId="165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2.14"/>
    <col customWidth="1" min="3" max="3" width="29.29"/>
    <col customWidth="1" min="4" max="4" width="24.29"/>
    <col customWidth="1" min="5" max="5" width="22.0"/>
    <col customWidth="1" min="6" max="6" width="20.71"/>
    <col customWidth="1" min="7" max="7" width="12.0"/>
    <col customWidth="1" min="8" max="8" width="14.0"/>
    <col customWidth="1" min="9" max="9" width="4.29"/>
    <col customWidth="1" min="10" max="26" width="10.71"/>
  </cols>
  <sheetData>
    <row r="1" ht="15.0" customHeight="1">
      <c r="A1" s="1"/>
      <c r="B1" s="2" t="s">
        <v>0</v>
      </c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B2" s="6"/>
      <c r="C2" s="7"/>
      <c r="D2" s="7"/>
      <c r="E2" s="7"/>
      <c r="F2" s="7"/>
      <c r="G2" s="7"/>
      <c r="H2" s="8"/>
      <c r="I2" s="9"/>
      <c r="J2" s="9"/>
      <c r="K2" s="9"/>
      <c r="L2" s="9"/>
      <c r="M2" s="9"/>
      <c r="N2" s="9"/>
      <c r="O2" s="9"/>
      <c r="P2" s="9"/>
    </row>
    <row r="3" ht="15.75" customHeight="1">
      <c r="B3" s="10" t="s">
        <v>1</v>
      </c>
      <c r="C3" s="3"/>
      <c r="D3" s="3"/>
      <c r="E3" s="3"/>
      <c r="F3" s="3"/>
      <c r="G3" s="3"/>
      <c r="H3" s="4"/>
      <c r="I3" s="9"/>
      <c r="J3" s="9"/>
      <c r="K3" s="9"/>
      <c r="L3" s="9"/>
      <c r="M3" s="9"/>
      <c r="N3" s="9"/>
      <c r="O3" s="9"/>
      <c r="P3" s="9"/>
    </row>
    <row r="4">
      <c r="B4" s="6"/>
      <c r="C4" s="7"/>
      <c r="D4" s="7"/>
      <c r="E4" s="7"/>
      <c r="F4" s="7"/>
      <c r="G4" s="7"/>
      <c r="H4" s="8"/>
      <c r="I4" s="9"/>
      <c r="J4" s="9"/>
      <c r="K4" s="9"/>
      <c r="L4" s="9"/>
      <c r="M4" s="9"/>
      <c r="N4" s="9"/>
      <c r="O4" s="9"/>
      <c r="P4" s="9"/>
    </row>
    <row r="5">
      <c r="A5" s="11"/>
      <c r="B5" s="12" t="s">
        <v>2</v>
      </c>
      <c r="C5" s="13" t="s">
        <v>3</v>
      </c>
      <c r="D5" s="14"/>
      <c r="E5" s="15" t="s">
        <v>4</v>
      </c>
      <c r="F5" s="15" t="s">
        <v>5</v>
      </c>
      <c r="G5" s="16" t="s">
        <v>6</v>
      </c>
      <c r="H5" s="15" t="s">
        <v>7</v>
      </c>
      <c r="I5" s="9"/>
      <c r="J5" s="9"/>
      <c r="K5" s="9"/>
      <c r="L5" s="9"/>
      <c r="M5" s="9"/>
      <c r="N5" s="9"/>
      <c r="O5" s="9"/>
      <c r="P5" s="9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1"/>
      <c r="B6" s="17" t="s">
        <v>8</v>
      </c>
      <c r="C6" s="18" t="s">
        <v>9</v>
      </c>
      <c r="D6" s="19"/>
      <c r="E6" s="20" t="s">
        <v>10</v>
      </c>
      <c r="F6" s="21" t="s">
        <v>11</v>
      </c>
      <c r="G6" s="22">
        <v>23.71392</v>
      </c>
      <c r="H6" s="23">
        <f t="shared" ref="H6:H12" si="1">G6*100</f>
        <v>2371.392</v>
      </c>
      <c r="I6" s="9"/>
      <c r="J6" s="9"/>
      <c r="K6" s="9"/>
      <c r="L6" s="9"/>
      <c r="M6" s="9"/>
      <c r="N6" s="9"/>
      <c r="O6" s="9"/>
      <c r="P6" s="9"/>
    </row>
    <row r="7">
      <c r="A7" s="11"/>
      <c r="B7" s="24" t="s">
        <v>12</v>
      </c>
      <c r="C7" s="25" t="s">
        <v>13</v>
      </c>
      <c r="D7" s="14"/>
      <c r="E7" s="26" t="s">
        <v>14</v>
      </c>
      <c r="F7" s="27" t="s">
        <v>11</v>
      </c>
      <c r="G7" s="28">
        <v>49.404</v>
      </c>
      <c r="H7" s="23">
        <f t="shared" si="1"/>
        <v>4940.4</v>
      </c>
      <c r="I7" s="9"/>
      <c r="J7" s="9"/>
      <c r="K7" s="9"/>
      <c r="L7" s="9"/>
      <c r="M7" s="9"/>
      <c r="N7" s="9"/>
      <c r="O7" s="9"/>
      <c r="P7" s="9"/>
    </row>
    <row r="8">
      <c r="A8" s="11"/>
      <c r="B8" s="17" t="s">
        <v>15</v>
      </c>
      <c r="C8" s="18" t="s">
        <v>16</v>
      </c>
      <c r="D8" s="19"/>
      <c r="E8" s="20" t="s">
        <v>14</v>
      </c>
      <c r="F8" s="21" t="s">
        <v>11</v>
      </c>
      <c r="G8" s="22">
        <v>71.14175999999999</v>
      </c>
      <c r="H8" s="23">
        <f t="shared" si="1"/>
        <v>7114.176</v>
      </c>
      <c r="I8" s="9"/>
      <c r="J8" s="9"/>
      <c r="K8" s="9"/>
      <c r="L8" s="9"/>
      <c r="M8" s="9"/>
      <c r="N8" s="9"/>
      <c r="O8" s="9"/>
      <c r="P8" s="9"/>
    </row>
    <row r="9">
      <c r="A9" s="11"/>
      <c r="B9" s="24" t="s">
        <v>17</v>
      </c>
      <c r="C9" s="25" t="s">
        <v>18</v>
      </c>
      <c r="D9" s="14"/>
      <c r="E9" s="26" t="s">
        <v>19</v>
      </c>
      <c r="F9" s="27" t="s">
        <v>11</v>
      </c>
      <c r="G9" s="28">
        <v>82.99872</v>
      </c>
      <c r="H9" s="23">
        <f t="shared" si="1"/>
        <v>8299.872</v>
      </c>
      <c r="I9" s="9"/>
      <c r="J9" s="9"/>
      <c r="K9" s="9"/>
      <c r="L9" s="9"/>
      <c r="M9" s="9"/>
      <c r="N9" s="9"/>
      <c r="O9" s="9"/>
      <c r="P9" s="9"/>
    </row>
    <row r="10">
      <c r="A10" s="11"/>
      <c r="B10" s="17" t="s">
        <v>20</v>
      </c>
      <c r="C10" s="18" t="s">
        <v>21</v>
      </c>
      <c r="D10" s="19"/>
      <c r="E10" s="20" t="s">
        <v>19</v>
      </c>
      <c r="F10" s="21" t="s">
        <v>11</v>
      </c>
      <c r="G10" s="22">
        <v>94.85567999999999</v>
      </c>
      <c r="H10" s="23">
        <f t="shared" si="1"/>
        <v>9485.568</v>
      </c>
      <c r="I10" s="9"/>
      <c r="J10" s="9"/>
      <c r="K10" s="9"/>
      <c r="L10" s="9"/>
      <c r="M10" s="9"/>
      <c r="N10" s="9"/>
      <c r="O10" s="9"/>
      <c r="P10" s="9"/>
    </row>
    <row r="11">
      <c r="A11" s="11"/>
      <c r="B11" s="24" t="s">
        <v>22</v>
      </c>
      <c r="C11" s="25" t="s">
        <v>23</v>
      </c>
      <c r="D11" s="14"/>
      <c r="E11" s="26" t="s">
        <v>19</v>
      </c>
      <c r="F11" s="27" t="s">
        <v>11</v>
      </c>
      <c r="G11" s="28">
        <v>126.47424</v>
      </c>
      <c r="H11" s="23">
        <f t="shared" si="1"/>
        <v>12647.424</v>
      </c>
      <c r="I11" s="9"/>
      <c r="J11" s="9"/>
      <c r="K11" s="9"/>
      <c r="L11" s="9"/>
      <c r="M11" s="9"/>
      <c r="N11" s="9"/>
      <c r="O11" s="9"/>
      <c r="P11" s="9"/>
    </row>
    <row r="12">
      <c r="A12" s="11"/>
      <c r="B12" s="17" t="s">
        <v>24</v>
      </c>
      <c r="C12" s="18" t="s">
        <v>25</v>
      </c>
      <c r="D12" s="19"/>
      <c r="E12" s="20" t="s">
        <v>19</v>
      </c>
      <c r="F12" s="21" t="s">
        <v>11</v>
      </c>
      <c r="G12" s="22">
        <v>150.18816</v>
      </c>
      <c r="H12" s="23">
        <f t="shared" si="1"/>
        <v>15018.816</v>
      </c>
      <c r="I12" s="9"/>
      <c r="J12" s="9"/>
      <c r="K12" s="9"/>
      <c r="L12" s="9"/>
      <c r="M12" s="9"/>
      <c r="N12" s="9"/>
      <c r="O12" s="9"/>
      <c r="P12" s="9"/>
    </row>
    <row r="13" ht="12.0" customHeight="1">
      <c r="A13" s="29"/>
      <c r="B13" s="30" t="s">
        <v>26</v>
      </c>
      <c r="C13" s="31"/>
      <c r="D13" s="31"/>
      <c r="E13" s="31"/>
      <c r="F13" s="31"/>
      <c r="G13" s="31"/>
      <c r="H13" s="32"/>
      <c r="I13" s="9"/>
      <c r="J13" s="9"/>
      <c r="K13" s="9"/>
      <c r="L13" s="9"/>
      <c r="M13" s="9"/>
      <c r="N13" s="9"/>
      <c r="O13" s="9"/>
      <c r="P13" s="9"/>
    </row>
    <row r="14">
      <c r="A14" s="11"/>
      <c r="B14" s="33" t="s">
        <v>27</v>
      </c>
      <c r="C14" s="3"/>
      <c r="D14" s="3"/>
      <c r="E14" s="3"/>
      <c r="F14" s="3"/>
      <c r="G14" s="3"/>
      <c r="H14" s="34"/>
      <c r="I14" s="9"/>
      <c r="J14" s="9"/>
      <c r="K14" s="9"/>
      <c r="L14" s="9"/>
      <c r="M14" s="9"/>
      <c r="N14" s="9"/>
      <c r="O14" s="9"/>
      <c r="P14" s="9"/>
    </row>
    <row r="15">
      <c r="A15" s="11"/>
      <c r="B15" s="35"/>
      <c r="C15" s="7"/>
      <c r="D15" s="7"/>
      <c r="E15" s="7"/>
      <c r="F15" s="7"/>
      <c r="G15" s="7"/>
      <c r="H15" s="36"/>
      <c r="I15" s="9"/>
      <c r="J15" s="9"/>
      <c r="K15" s="9"/>
      <c r="L15" s="9"/>
      <c r="M15" s="9"/>
      <c r="N15" s="9"/>
      <c r="O15" s="9"/>
      <c r="P15" s="9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1"/>
      <c r="B16" s="12" t="s">
        <v>2</v>
      </c>
      <c r="C16" s="13" t="s">
        <v>3</v>
      </c>
      <c r="D16" s="14"/>
      <c r="E16" s="15" t="s">
        <v>4</v>
      </c>
      <c r="F16" s="15" t="s">
        <v>5</v>
      </c>
      <c r="G16" s="16" t="s">
        <v>6</v>
      </c>
      <c r="H16" s="15" t="s">
        <v>7</v>
      </c>
      <c r="I16" s="9"/>
      <c r="J16" s="9"/>
      <c r="K16" s="9"/>
      <c r="L16" s="9"/>
      <c r="M16" s="9"/>
      <c r="N16" s="9"/>
      <c r="O16" s="9"/>
      <c r="P16" s="9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1"/>
      <c r="B17" s="17" t="s">
        <v>28</v>
      </c>
      <c r="C17" s="18" t="s">
        <v>9</v>
      </c>
      <c r="D17" s="19"/>
      <c r="E17" s="20" t="s">
        <v>10</v>
      </c>
      <c r="F17" s="21" t="s">
        <v>11</v>
      </c>
      <c r="G17" s="22">
        <v>33.199487999999995</v>
      </c>
      <c r="H17" s="23">
        <f t="shared" ref="H17:H23" si="2">G17*100</f>
        <v>3319.9488</v>
      </c>
      <c r="I17" s="9"/>
      <c r="J17" s="9"/>
      <c r="K17" s="9"/>
      <c r="L17" s="9"/>
      <c r="M17" s="9"/>
      <c r="N17" s="9"/>
      <c r="O17" s="9"/>
      <c r="P17" s="9"/>
    </row>
    <row r="18">
      <c r="A18" s="11"/>
      <c r="B18" s="24" t="s">
        <v>29</v>
      </c>
      <c r="C18" s="25" t="s">
        <v>13</v>
      </c>
      <c r="D18" s="14"/>
      <c r="E18" s="26" t="s">
        <v>14</v>
      </c>
      <c r="F18" s="27" t="s">
        <v>11</v>
      </c>
      <c r="G18" s="28">
        <v>69.1656</v>
      </c>
      <c r="H18" s="37">
        <f t="shared" si="2"/>
        <v>6916.56</v>
      </c>
      <c r="I18" s="9"/>
      <c r="J18" s="9"/>
      <c r="K18" s="9"/>
      <c r="L18" s="9"/>
      <c r="M18" s="9"/>
      <c r="N18" s="9"/>
      <c r="O18" s="9"/>
      <c r="P18" s="9"/>
    </row>
    <row r="19">
      <c r="A19" s="11"/>
      <c r="B19" s="17" t="s">
        <v>30</v>
      </c>
      <c r="C19" s="18" t="s">
        <v>16</v>
      </c>
      <c r="D19" s="19"/>
      <c r="E19" s="20" t="s">
        <v>14</v>
      </c>
      <c r="F19" s="21" t="s">
        <v>11</v>
      </c>
      <c r="G19" s="22">
        <v>99.598464</v>
      </c>
      <c r="H19" s="38">
        <f t="shared" si="2"/>
        <v>9959.8464</v>
      </c>
      <c r="I19" s="9"/>
      <c r="J19" s="9"/>
      <c r="K19" s="9"/>
      <c r="L19" s="9"/>
      <c r="M19" s="9"/>
      <c r="N19" s="9"/>
      <c r="O19" s="9"/>
      <c r="P19" s="9"/>
    </row>
    <row r="20">
      <c r="A20" s="11"/>
      <c r="B20" s="24" t="s">
        <v>31</v>
      </c>
      <c r="C20" s="25" t="s">
        <v>18</v>
      </c>
      <c r="D20" s="14"/>
      <c r="E20" s="26" t="s">
        <v>19</v>
      </c>
      <c r="F20" s="27" t="s">
        <v>11</v>
      </c>
      <c r="G20" s="28">
        <v>116.198208</v>
      </c>
      <c r="H20" s="37">
        <f t="shared" si="2"/>
        <v>11619.8208</v>
      </c>
      <c r="I20" s="9"/>
      <c r="J20" s="9"/>
      <c r="K20" s="9"/>
      <c r="L20" s="9"/>
      <c r="M20" s="9"/>
      <c r="N20" s="9"/>
      <c r="O20" s="9"/>
      <c r="P20" s="9"/>
    </row>
    <row r="21" ht="15.75" customHeight="1">
      <c r="A21" s="11"/>
      <c r="B21" s="17" t="s">
        <v>32</v>
      </c>
      <c r="C21" s="18" t="s">
        <v>21</v>
      </c>
      <c r="D21" s="19"/>
      <c r="E21" s="20" t="s">
        <v>19</v>
      </c>
      <c r="F21" s="21" t="s">
        <v>11</v>
      </c>
      <c r="G21" s="22">
        <v>132.79795199999998</v>
      </c>
      <c r="H21" s="38">
        <f t="shared" si="2"/>
        <v>13279.7952</v>
      </c>
      <c r="I21" s="9"/>
      <c r="J21" s="9"/>
      <c r="K21" s="9"/>
      <c r="L21" s="9"/>
      <c r="M21" s="9"/>
      <c r="N21" s="9"/>
      <c r="O21" s="9"/>
      <c r="P21" s="9"/>
    </row>
    <row r="22" ht="15.75" customHeight="1">
      <c r="A22" s="11"/>
      <c r="B22" s="24" t="s">
        <v>33</v>
      </c>
      <c r="C22" s="25" t="s">
        <v>23</v>
      </c>
      <c r="D22" s="14"/>
      <c r="E22" s="26" t="s">
        <v>19</v>
      </c>
      <c r="F22" s="27" t="s">
        <v>11</v>
      </c>
      <c r="G22" s="28">
        <v>177.063936</v>
      </c>
      <c r="H22" s="37">
        <f t="shared" si="2"/>
        <v>17706.3936</v>
      </c>
      <c r="I22" s="9"/>
      <c r="J22" s="9"/>
      <c r="K22" s="9"/>
      <c r="L22" s="9"/>
      <c r="M22" s="9"/>
      <c r="N22" s="9"/>
      <c r="O22" s="9"/>
      <c r="P22" s="9"/>
    </row>
    <row r="23" ht="15.75" customHeight="1">
      <c r="A23" s="11"/>
      <c r="B23" s="17" t="s">
        <v>34</v>
      </c>
      <c r="C23" s="18" t="s">
        <v>25</v>
      </c>
      <c r="D23" s="19"/>
      <c r="E23" s="20" t="s">
        <v>19</v>
      </c>
      <c r="F23" s="21" t="s">
        <v>11</v>
      </c>
      <c r="G23" s="22">
        <v>210.263424</v>
      </c>
      <c r="H23" s="38">
        <f t="shared" si="2"/>
        <v>21026.3424</v>
      </c>
      <c r="I23" s="9"/>
      <c r="J23" s="9"/>
      <c r="K23" s="9"/>
      <c r="L23" s="9"/>
      <c r="M23" s="9"/>
      <c r="N23" s="9"/>
      <c r="O23" s="9"/>
      <c r="P23" s="9"/>
    </row>
    <row r="24" ht="11.25" customHeight="1">
      <c r="A24" s="39"/>
      <c r="B24" s="30" t="s">
        <v>35</v>
      </c>
      <c r="C24" s="31"/>
      <c r="D24" s="31"/>
      <c r="E24" s="31"/>
      <c r="F24" s="31"/>
      <c r="G24" s="31"/>
      <c r="H24" s="32"/>
    </row>
    <row r="25" ht="11.25" customHeight="1">
      <c r="A25" s="39"/>
      <c r="B25" s="40"/>
      <c r="C25" s="40"/>
      <c r="D25" s="40"/>
      <c r="E25" s="40"/>
      <c r="F25" s="40"/>
      <c r="G25" s="40"/>
      <c r="H25" s="40"/>
    </row>
    <row r="26" ht="15.0" customHeight="1">
      <c r="A26" s="39"/>
      <c r="B26" s="2" t="s">
        <v>36</v>
      </c>
      <c r="C26" s="3"/>
      <c r="D26" s="3"/>
      <c r="E26" s="3"/>
      <c r="F26" s="3"/>
      <c r="G26" s="3"/>
      <c r="H26" s="4"/>
    </row>
    <row r="27" ht="15.75" customHeight="1">
      <c r="A27" s="39"/>
      <c r="B27" s="6"/>
      <c r="C27" s="7"/>
      <c r="D27" s="7"/>
      <c r="E27" s="7"/>
      <c r="F27" s="7"/>
      <c r="G27" s="7"/>
      <c r="H27" s="8"/>
    </row>
    <row r="28" ht="15.75" customHeight="1">
      <c r="A28" s="39"/>
      <c r="B28" s="10" t="s">
        <v>37</v>
      </c>
      <c r="C28" s="3"/>
      <c r="D28" s="3"/>
      <c r="E28" s="3"/>
      <c r="F28" s="3"/>
      <c r="G28" s="3"/>
      <c r="H28" s="4"/>
    </row>
    <row r="29" ht="15.75" customHeight="1">
      <c r="A29" s="39"/>
      <c r="B29" s="6"/>
      <c r="C29" s="7"/>
      <c r="D29" s="7"/>
      <c r="E29" s="7"/>
      <c r="F29" s="7"/>
      <c r="G29" s="7"/>
      <c r="H29" s="8"/>
    </row>
    <row r="30" ht="15.75" customHeight="1">
      <c r="A30" s="39"/>
      <c r="B30" s="12" t="s">
        <v>2</v>
      </c>
      <c r="C30" s="13" t="s">
        <v>3</v>
      </c>
      <c r="D30" s="14"/>
      <c r="E30" s="15" t="s">
        <v>4</v>
      </c>
      <c r="F30" s="15" t="s">
        <v>5</v>
      </c>
      <c r="G30" s="16" t="s">
        <v>6</v>
      </c>
      <c r="H30" s="15" t="s">
        <v>7</v>
      </c>
    </row>
    <row r="31" ht="15.75" customHeight="1">
      <c r="A31" s="39"/>
      <c r="B31" s="17" t="s">
        <v>38</v>
      </c>
      <c r="C31" s="18" t="s">
        <v>39</v>
      </c>
      <c r="D31" s="19"/>
      <c r="E31" s="20" t="s">
        <v>40</v>
      </c>
      <c r="F31" s="21" t="s">
        <v>41</v>
      </c>
      <c r="G31" s="22">
        <v>51.79968</v>
      </c>
      <c r="H31" s="23">
        <f>G31*100</f>
        <v>5179.968</v>
      </c>
    </row>
    <row r="32" ht="15.75" customHeight="1">
      <c r="A32" s="39"/>
      <c r="B32" s="24" t="s">
        <v>42</v>
      </c>
      <c r="C32" s="25" t="s">
        <v>43</v>
      </c>
      <c r="D32" s="14"/>
      <c r="E32" s="26" t="s">
        <v>44</v>
      </c>
      <c r="F32" s="27" t="s">
        <v>45</v>
      </c>
      <c r="G32" s="28">
        <v>119.17312</v>
      </c>
      <c r="H32" s="37">
        <f>G32*50</f>
        <v>5958.656</v>
      </c>
    </row>
    <row r="33" ht="15.75" customHeight="1">
      <c r="A33" s="39"/>
      <c r="B33" s="17" t="s">
        <v>46</v>
      </c>
      <c r="C33" s="18" t="s">
        <v>47</v>
      </c>
      <c r="D33" s="19"/>
      <c r="E33" s="20" t="s">
        <v>40</v>
      </c>
      <c r="F33" s="21" t="s">
        <v>41</v>
      </c>
      <c r="G33" s="22">
        <v>57.89375999999999</v>
      </c>
      <c r="H33" s="23">
        <f>G33*100</f>
        <v>5789.376</v>
      </c>
    </row>
    <row r="34" ht="15.0" customHeight="1">
      <c r="A34" s="39"/>
      <c r="B34" s="24" t="s">
        <v>48</v>
      </c>
      <c r="C34" s="25" t="s">
        <v>49</v>
      </c>
      <c r="D34" s="14"/>
      <c r="E34" s="26" t="s">
        <v>44</v>
      </c>
      <c r="F34" s="27" t="s">
        <v>45</v>
      </c>
      <c r="G34" s="28">
        <v>132.71552</v>
      </c>
      <c r="H34" s="37">
        <f>G34*50</f>
        <v>6635.776</v>
      </c>
    </row>
    <row r="35" ht="13.5" customHeight="1">
      <c r="A35" s="39"/>
      <c r="B35" s="41" t="s">
        <v>50</v>
      </c>
      <c r="C35" s="31"/>
      <c r="D35" s="31"/>
      <c r="E35" s="31"/>
      <c r="F35" s="31"/>
      <c r="G35" s="31"/>
      <c r="H35" s="32"/>
    </row>
    <row r="36" ht="15.75" customHeight="1">
      <c r="A36" s="39"/>
      <c r="B36" s="33" t="s">
        <v>51</v>
      </c>
      <c r="C36" s="3"/>
      <c r="D36" s="3"/>
      <c r="E36" s="3"/>
      <c r="F36" s="3"/>
      <c r="G36" s="3"/>
      <c r="H36" s="34"/>
    </row>
    <row r="37" ht="15.75" customHeight="1">
      <c r="A37" s="39"/>
      <c r="B37" s="35"/>
      <c r="C37" s="7"/>
      <c r="D37" s="7"/>
      <c r="E37" s="7"/>
      <c r="F37" s="7"/>
      <c r="G37" s="7"/>
      <c r="H37" s="36"/>
    </row>
    <row r="38" ht="15.75" customHeight="1">
      <c r="B38" s="12" t="s">
        <v>2</v>
      </c>
      <c r="C38" s="42" t="s">
        <v>3</v>
      </c>
      <c r="D38" s="14"/>
      <c r="E38" s="15" t="s">
        <v>4</v>
      </c>
      <c r="F38" s="15" t="s">
        <v>5</v>
      </c>
      <c r="G38" s="16" t="s">
        <v>6</v>
      </c>
      <c r="H38" s="15" t="s">
        <v>7</v>
      </c>
    </row>
    <row r="39" ht="15.75" customHeight="1">
      <c r="B39" s="17" t="s">
        <v>52</v>
      </c>
      <c r="C39" s="18" t="s">
        <v>53</v>
      </c>
      <c r="D39" s="19"/>
      <c r="E39" s="20" t="s">
        <v>54</v>
      </c>
      <c r="F39" s="21" t="s">
        <v>55</v>
      </c>
      <c r="G39" s="22">
        <v>101.56800000000001</v>
      </c>
      <c r="H39" s="23">
        <f>G39*50</f>
        <v>5078.4</v>
      </c>
    </row>
    <row r="40" ht="13.5" customHeight="1">
      <c r="B40" s="41" t="s">
        <v>56</v>
      </c>
      <c r="C40" s="31"/>
      <c r="D40" s="31"/>
      <c r="E40" s="31"/>
      <c r="F40" s="31"/>
      <c r="G40" s="31"/>
      <c r="H40" s="32"/>
    </row>
    <row r="41" ht="11.25" customHeight="1">
      <c r="B41" s="43"/>
      <c r="C41" s="43"/>
      <c r="D41" s="43"/>
      <c r="E41" s="43"/>
      <c r="F41" s="43"/>
      <c r="G41" s="43"/>
      <c r="H41" s="43"/>
    </row>
    <row r="42" ht="15.75" customHeight="1">
      <c r="B42" s="44" t="s">
        <v>57</v>
      </c>
      <c r="C42" s="3"/>
      <c r="D42" s="3"/>
      <c r="E42" s="3"/>
      <c r="F42" s="3"/>
      <c r="G42" s="3"/>
      <c r="H42" s="34"/>
    </row>
    <row r="43" ht="15.75" customHeight="1">
      <c r="B43" s="35"/>
      <c r="C43" s="7"/>
      <c r="D43" s="7"/>
      <c r="E43" s="7"/>
      <c r="F43" s="7"/>
      <c r="G43" s="7"/>
      <c r="H43" s="36"/>
    </row>
    <row r="44" ht="15.75" customHeight="1">
      <c r="B44" s="12" t="s">
        <v>2</v>
      </c>
      <c r="C44" s="42" t="s">
        <v>3</v>
      </c>
      <c r="D44" s="14"/>
      <c r="E44" s="15" t="s">
        <v>4</v>
      </c>
      <c r="F44" s="15" t="s">
        <v>5</v>
      </c>
      <c r="G44" s="16" t="s">
        <v>6</v>
      </c>
      <c r="H44" s="15" t="s">
        <v>7</v>
      </c>
    </row>
    <row r="45" ht="15.75" customHeight="1">
      <c r="B45" s="17" t="s">
        <v>58</v>
      </c>
      <c r="C45" s="18" t="s">
        <v>59</v>
      </c>
      <c r="D45" s="19"/>
      <c r="E45" s="20" t="s">
        <v>44</v>
      </c>
      <c r="F45" s="21" t="s">
        <v>41</v>
      </c>
      <c r="G45" s="22">
        <v>31.877999999999997</v>
      </c>
      <c r="H45" s="23">
        <f>G45*100</f>
        <v>3187.8</v>
      </c>
    </row>
    <row r="46" ht="15.75" customHeight="1">
      <c r="B46" s="24" t="s">
        <v>60</v>
      </c>
      <c r="C46" s="25" t="s">
        <v>61</v>
      </c>
      <c r="D46" s="14"/>
      <c r="E46" s="26" t="s">
        <v>62</v>
      </c>
      <c r="F46" s="27" t="s">
        <v>41</v>
      </c>
      <c r="G46" s="28">
        <v>64.9152</v>
      </c>
      <c r="H46" s="37">
        <f t="shared" ref="H46:H47" si="3">G46*50</f>
        <v>3245.76</v>
      </c>
    </row>
    <row r="47" ht="15.75" customHeight="1">
      <c r="B47" s="17" t="s">
        <v>63</v>
      </c>
      <c r="C47" s="18" t="s">
        <v>64</v>
      </c>
      <c r="D47" s="19"/>
      <c r="E47" s="20" t="s">
        <v>44</v>
      </c>
      <c r="F47" s="21" t="s">
        <v>45</v>
      </c>
      <c r="G47" s="22">
        <v>127.18080000000002</v>
      </c>
      <c r="H47" s="23">
        <f t="shared" si="3"/>
        <v>6359.04</v>
      </c>
    </row>
    <row r="48" ht="14.25" customHeight="1">
      <c r="B48" s="41" t="s">
        <v>65</v>
      </c>
      <c r="C48" s="31"/>
      <c r="D48" s="31"/>
      <c r="E48" s="31"/>
      <c r="F48" s="31"/>
      <c r="G48" s="31"/>
      <c r="H48" s="32"/>
    </row>
    <row r="49" ht="10.5" customHeight="1">
      <c r="B49" s="45"/>
      <c r="C49" s="45"/>
      <c r="D49" s="45"/>
      <c r="E49" s="45"/>
      <c r="F49" s="45"/>
      <c r="G49" s="45"/>
      <c r="H49" s="45"/>
    </row>
    <row r="50" ht="15.75" customHeight="1">
      <c r="B50" s="2" t="s">
        <v>66</v>
      </c>
      <c r="C50" s="3"/>
      <c r="D50" s="3"/>
      <c r="E50" s="3"/>
      <c r="F50" s="3"/>
      <c r="G50" s="3"/>
      <c r="H50" s="4"/>
    </row>
    <row r="51" ht="15.75" customHeight="1">
      <c r="B51" s="6"/>
      <c r="C51" s="7"/>
      <c r="D51" s="7"/>
      <c r="E51" s="7"/>
      <c r="F51" s="7"/>
      <c r="G51" s="7"/>
      <c r="H51" s="8"/>
    </row>
    <row r="52" ht="15.75" customHeight="1">
      <c r="B52" s="10" t="s">
        <v>67</v>
      </c>
      <c r="C52" s="3"/>
      <c r="D52" s="3"/>
      <c r="E52" s="3"/>
      <c r="F52" s="3"/>
      <c r="G52" s="3"/>
      <c r="H52" s="4"/>
    </row>
    <row r="53" ht="15.75" customHeight="1">
      <c r="B53" s="6"/>
      <c r="C53" s="7"/>
      <c r="D53" s="7"/>
      <c r="E53" s="7"/>
      <c r="F53" s="7"/>
      <c r="G53" s="7"/>
      <c r="H53" s="8"/>
    </row>
    <row r="54" ht="15.75" customHeight="1">
      <c r="B54" s="12" t="s">
        <v>2</v>
      </c>
      <c r="C54" s="13" t="s">
        <v>3</v>
      </c>
      <c r="D54" s="14"/>
      <c r="E54" s="15" t="s">
        <v>4</v>
      </c>
      <c r="F54" s="15" t="s">
        <v>5</v>
      </c>
      <c r="G54" s="16" t="s">
        <v>6</v>
      </c>
      <c r="H54" s="15" t="s">
        <v>7</v>
      </c>
    </row>
    <row r="55" ht="15.75" customHeight="1">
      <c r="B55" s="17" t="s">
        <v>68</v>
      </c>
      <c r="C55" s="18" t="s">
        <v>69</v>
      </c>
      <c r="D55" s="19"/>
      <c r="E55" s="20" t="s">
        <v>70</v>
      </c>
      <c r="F55" s="21" t="s">
        <v>71</v>
      </c>
      <c r="G55" s="22">
        <v>21.114000000000004</v>
      </c>
      <c r="H55" s="23">
        <f t="shared" ref="H55:H56" si="4">G55*30</f>
        <v>633.42</v>
      </c>
    </row>
    <row r="56" ht="15.75" customHeight="1">
      <c r="B56" s="24" t="s">
        <v>72</v>
      </c>
      <c r="C56" s="25" t="s">
        <v>73</v>
      </c>
      <c r="D56" s="14"/>
      <c r="E56" s="26" t="s">
        <v>70</v>
      </c>
      <c r="F56" s="27" t="s">
        <v>71</v>
      </c>
      <c r="G56" s="28">
        <v>27.370000000000005</v>
      </c>
      <c r="H56" s="23">
        <f t="shared" si="4"/>
        <v>821.1</v>
      </c>
    </row>
    <row r="57" ht="15.75" customHeight="1">
      <c r="B57" s="17" t="s">
        <v>74</v>
      </c>
      <c r="C57" s="18" t="s">
        <v>75</v>
      </c>
      <c r="D57" s="19"/>
      <c r="E57" s="20" t="s">
        <v>70</v>
      </c>
      <c r="F57" s="21" t="s">
        <v>76</v>
      </c>
      <c r="G57" s="22">
        <v>42.228</v>
      </c>
      <c r="H57" s="23">
        <f t="shared" ref="H57:H58" si="5">G57*20</f>
        <v>844.56</v>
      </c>
    </row>
    <row r="58" ht="15.75" customHeight="1">
      <c r="B58" s="24" t="s">
        <v>77</v>
      </c>
      <c r="C58" s="25" t="s">
        <v>78</v>
      </c>
      <c r="D58" s="14"/>
      <c r="E58" s="26" t="s">
        <v>79</v>
      </c>
      <c r="F58" s="27" t="s">
        <v>76</v>
      </c>
      <c r="G58" s="28">
        <v>82.57919999999999</v>
      </c>
      <c r="H58" s="37">
        <f t="shared" si="5"/>
        <v>1651.584</v>
      </c>
    </row>
    <row r="59" ht="10.5" customHeight="1">
      <c r="B59" s="30"/>
      <c r="C59" s="31"/>
      <c r="D59" s="31"/>
      <c r="E59" s="31"/>
      <c r="F59" s="31"/>
      <c r="G59" s="31"/>
      <c r="H59" s="32"/>
    </row>
    <row r="60" ht="10.5" customHeight="1">
      <c r="B60" s="45"/>
      <c r="C60" s="45"/>
      <c r="D60" s="45"/>
      <c r="E60" s="45"/>
      <c r="F60" s="45"/>
      <c r="G60" s="45"/>
      <c r="H60" s="45"/>
    </row>
    <row r="61" ht="15.75" customHeight="1">
      <c r="B61" s="2" t="s">
        <v>80</v>
      </c>
      <c r="C61" s="3"/>
      <c r="D61" s="3"/>
      <c r="E61" s="3"/>
      <c r="F61" s="3"/>
      <c r="G61" s="3"/>
      <c r="H61" s="4"/>
    </row>
    <row r="62" ht="15.75" customHeight="1">
      <c r="B62" s="6"/>
      <c r="C62" s="7"/>
      <c r="D62" s="7"/>
      <c r="E62" s="7"/>
      <c r="F62" s="7"/>
      <c r="G62" s="7"/>
      <c r="H62" s="8"/>
    </row>
    <row r="63" ht="15.75" customHeight="1">
      <c r="B63" s="10" t="s">
        <v>81</v>
      </c>
      <c r="C63" s="3"/>
      <c r="D63" s="3"/>
      <c r="E63" s="3"/>
      <c r="F63" s="3"/>
      <c r="G63" s="3"/>
      <c r="H63" s="4"/>
    </row>
    <row r="64" ht="15.75" customHeight="1">
      <c r="B64" s="6"/>
      <c r="C64" s="7"/>
      <c r="D64" s="7"/>
      <c r="E64" s="7"/>
      <c r="F64" s="7"/>
      <c r="G64" s="7"/>
      <c r="H64" s="8"/>
    </row>
    <row r="65" ht="15.75" customHeight="1">
      <c r="B65" s="12" t="s">
        <v>2</v>
      </c>
      <c r="C65" s="13" t="s">
        <v>3</v>
      </c>
      <c r="D65" s="14"/>
      <c r="E65" s="15" t="s">
        <v>4</v>
      </c>
      <c r="F65" s="15" t="s">
        <v>5</v>
      </c>
      <c r="G65" s="16" t="s">
        <v>6</v>
      </c>
      <c r="H65" s="15" t="s">
        <v>7</v>
      </c>
    </row>
    <row r="66" ht="15.75" customHeight="1">
      <c r="B66" s="17" t="s">
        <v>82</v>
      </c>
      <c r="C66" s="18" t="s">
        <v>69</v>
      </c>
      <c r="D66" s="19"/>
      <c r="E66" s="20" t="s">
        <v>79</v>
      </c>
      <c r="F66" s="21" t="s">
        <v>76</v>
      </c>
      <c r="G66" s="22">
        <v>33.7824</v>
      </c>
      <c r="H66" s="23">
        <f>G66*20</f>
        <v>675.648</v>
      </c>
    </row>
    <row r="67" ht="15.75" customHeight="1">
      <c r="B67" s="24" t="s">
        <v>83</v>
      </c>
      <c r="C67" s="25" t="s">
        <v>73</v>
      </c>
      <c r="D67" s="14"/>
      <c r="E67" s="26" t="s">
        <v>79</v>
      </c>
      <c r="F67" s="27" t="s">
        <v>84</v>
      </c>
      <c r="G67" s="28">
        <v>43.792</v>
      </c>
      <c r="H67" s="37">
        <f t="shared" ref="H67:H70" si="6">G67*10</f>
        <v>437.92</v>
      </c>
    </row>
    <row r="68" ht="15.75" customHeight="1">
      <c r="B68" s="17" t="s">
        <v>85</v>
      </c>
      <c r="C68" s="18" t="s">
        <v>75</v>
      </c>
      <c r="D68" s="19"/>
      <c r="E68" s="20" t="s">
        <v>79</v>
      </c>
      <c r="F68" s="21" t="s">
        <v>84</v>
      </c>
      <c r="G68" s="22">
        <v>84.456</v>
      </c>
      <c r="H68" s="38">
        <f t="shared" si="6"/>
        <v>844.56</v>
      </c>
    </row>
    <row r="69" ht="15.75" customHeight="1">
      <c r="B69" s="24" t="s">
        <v>86</v>
      </c>
      <c r="C69" s="25" t="s">
        <v>78</v>
      </c>
      <c r="D69" s="14"/>
      <c r="E69" s="26" t="s">
        <v>79</v>
      </c>
      <c r="F69" s="27" t="s">
        <v>84</v>
      </c>
      <c r="G69" s="28">
        <v>137.632</v>
      </c>
      <c r="H69" s="37">
        <f t="shared" si="6"/>
        <v>1376.32</v>
      </c>
    </row>
    <row r="70" ht="15.75" customHeight="1">
      <c r="B70" s="17" t="s">
        <v>87</v>
      </c>
      <c r="C70" s="18" t="s">
        <v>88</v>
      </c>
      <c r="D70" s="19"/>
      <c r="E70" s="20" t="s">
        <v>79</v>
      </c>
      <c r="F70" s="21" t="s">
        <v>84</v>
      </c>
      <c r="G70" s="22">
        <v>202.6944</v>
      </c>
      <c r="H70" s="38">
        <f t="shared" si="6"/>
        <v>2026.944</v>
      </c>
    </row>
    <row r="71" ht="9.75" customHeight="1">
      <c r="B71" s="30"/>
      <c r="C71" s="31"/>
      <c r="D71" s="31"/>
      <c r="E71" s="31"/>
      <c r="F71" s="31"/>
      <c r="G71" s="31"/>
      <c r="H71" s="32"/>
    </row>
    <row r="72" ht="15.75" customHeight="1">
      <c r="B72" s="45"/>
      <c r="C72" s="45"/>
      <c r="D72" s="45"/>
      <c r="E72" s="45"/>
      <c r="F72" s="45"/>
      <c r="G72" s="45"/>
      <c r="H72" s="45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B42:H43"/>
    <mergeCell ref="B40:H40"/>
    <mergeCell ref="C39:D39"/>
    <mergeCell ref="C38:D38"/>
    <mergeCell ref="B36:H37"/>
    <mergeCell ref="B35:H35"/>
    <mergeCell ref="C34:D34"/>
    <mergeCell ref="C33:D33"/>
    <mergeCell ref="A1:A3"/>
    <mergeCell ref="B1:H2"/>
    <mergeCell ref="B3:H4"/>
    <mergeCell ref="C5:D5"/>
    <mergeCell ref="C6:D6"/>
    <mergeCell ref="C7:D7"/>
    <mergeCell ref="C8:D8"/>
    <mergeCell ref="C9:D9"/>
    <mergeCell ref="C10:D10"/>
    <mergeCell ref="C11:D11"/>
    <mergeCell ref="C12:D12"/>
    <mergeCell ref="B13:H13"/>
    <mergeCell ref="B14:H15"/>
    <mergeCell ref="C16:D16"/>
    <mergeCell ref="B24:H24"/>
    <mergeCell ref="B59:H59"/>
    <mergeCell ref="C54:D54"/>
    <mergeCell ref="C44:D44"/>
    <mergeCell ref="C32:D32"/>
    <mergeCell ref="C31:D31"/>
    <mergeCell ref="C30:D30"/>
    <mergeCell ref="B28:H29"/>
    <mergeCell ref="B26:H27"/>
    <mergeCell ref="C17:D17"/>
    <mergeCell ref="C18:D18"/>
    <mergeCell ref="C19:D19"/>
    <mergeCell ref="C20:D20"/>
    <mergeCell ref="C21:D21"/>
    <mergeCell ref="C22:D22"/>
    <mergeCell ref="C23:D23"/>
    <mergeCell ref="C58:D58"/>
    <mergeCell ref="C57:D57"/>
    <mergeCell ref="C56:D56"/>
    <mergeCell ref="C55:D55"/>
    <mergeCell ref="B61:H62"/>
    <mergeCell ref="B63:H64"/>
    <mergeCell ref="B71:H71"/>
    <mergeCell ref="C70:D70"/>
    <mergeCell ref="C69:D69"/>
    <mergeCell ref="C68:D68"/>
    <mergeCell ref="C67:D67"/>
    <mergeCell ref="C66:D66"/>
    <mergeCell ref="C65:D65"/>
    <mergeCell ref="B52:H53"/>
    <mergeCell ref="B50:H51"/>
    <mergeCell ref="B48:H48"/>
    <mergeCell ref="C47:D47"/>
    <mergeCell ref="C46:D46"/>
    <mergeCell ref="C45:D45"/>
  </mergeCells>
  <printOptions/>
  <pageMargins bottom="0.7480314960629921" footer="0.0" header="0.0" left="0.7086614173228347" right="0.7086614173228347" top="0.7480314960629921"/>
  <pageSetup paperSize="9" scale="6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8.29"/>
    <col customWidth="1" min="3" max="3" width="8.86"/>
    <col customWidth="1" min="4" max="5" width="13.57"/>
    <col customWidth="1" min="6" max="6" width="14.57"/>
    <col customWidth="1" min="7" max="7" width="14.86"/>
    <col customWidth="1" min="8" max="8" width="19.71"/>
    <col customWidth="1" min="9" max="9" width="24.29"/>
    <col customWidth="1" min="10" max="10" width="29.29"/>
    <col customWidth="1" min="11" max="11" width="23.57"/>
    <col customWidth="1" min="12" max="12" width="21.0"/>
    <col customWidth="1" min="13" max="13" width="6.71"/>
    <col customWidth="1" min="14" max="26" width="10.71"/>
  </cols>
  <sheetData>
    <row r="1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>
      <c r="A2" s="46" t="s">
        <v>89</v>
      </c>
      <c r="B2" s="47" t="s">
        <v>90</v>
      </c>
      <c r="C2" s="48"/>
      <c r="D2" s="49"/>
      <c r="E2" s="50"/>
      <c r="F2" s="51" t="s">
        <v>91</v>
      </c>
      <c r="G2" s="52" t="s">
        <v>92</v>
      </c>
      <c r="H2" s="52" t="s">
        <v>93</v>
      </c>
      <c r="I2" s="53" t="s">
        <v>94</v>
      </c>
      <c r="J2" s="54" t="s">
        <v>95</v>
      </c>
      <c r="K2" s="54" t="s">
        <v>96</v>
      </c>
      <c r="L2" s="55" t="s">
        <v>97</v>
      </c>
      <c r="M2" s="45"/>
    </row>
    <row r="3">
      <c r="A3" s="56"/>
      <c r="B3" s="57" t="s">
        <v>98</v>
      </c>
      <c r="C3" s="48"/>
      <c r="D3" s="48"/>
      <c r="E3" s="58"/>
      <c r="F3" s="59" t="s">
        <v>99</v>
      </c>
      <c r="G3" s="60">
        <f>H3/I3</f>
        <v>2.191836735</v>
      </c>
      <c r="H3" s="61">
        <f>1898+250</f>
        <v>2148</v>
      </c>
      <c r="I3" s="60">
        <v>980.0</v>
      </c>
      <c r="J3" s="61">
        <f>H3*2</f>
        <v>4296</v>
      </c>
      <c r="K3" s="62">
        <v>1.0</v>
      </c>
      <c r="L3" s="63">
        <v>1000.0</v>
      </c>
      <c r="M3" s="45"/>
    </row>
    <row r="4">
      <c r="A4" s="64" t="s">
        <v>100</v>
      </c>
      <c r="B4" s="65">
        <v>20.0</v>
      </c>
      <c r="C4" s="66">
        <v>30.0</v>
      </c>
      <c r="D4" s="66">
        <v>0.7</v>
      </c>
      <c r="E4" s="66">
        <v>0.0184</v>
      </c>
      <c r="F4" s="66">
        <f t="shared" ref="F4:F5" si="1">E4*D4*C4*B4</f>
        <v>7.728</v>
      </c>
      <c r="G4" s="67">
        <f>F4*G3</f>
        <v>16.93851429</v>
      </c>
      <c r="H4" s="61">
        <f t="shared" ref="H4:H10" si="2">H3</f>
        <v>2148</v>
      </c>
      <c r="I4" s="67">
        <f t="shared" ref="I4:I10" si="3">F4*H4</f>
        <v>16599.744</v>
      </c>
      <c r="J4" s="61">
        <f t="shared" ref="J4:J10" si="4">J3</f>
        <v>4296</v>
      </c>
      <c r="K4" s="67">
        <f t="shared" ref="K4:K10" si="5">J4*F4</f>
        <v>33199.488</v>
      </c>
      <c r="L4" s="68">
        <f>K4/L3</f>
        <v>33.199488</v>
      </c>
      <c r="M4" s="45"/>
    </row>
    <row r="5">
      <c r="A5" s="69" t="s">
        <v>101</v>
      </c>
      <c r="B5" s="65">
        <v>25.0</v>
      </c>
      <c r="C5" s="66">
        <v>50.0</v>
      </c>
      <c r="D5" s="66">
        <v>0.7</v>
      </c>
      <c r="E5" s="66">
        <v>0.0184</v>
      </c>
      <c r="F5" s="66">
        <f t="shared" si="1"/>
        <v>16.1</v>
      </c>
      <c r="G5" s="67">
        <f>F5*G3</f>
        <v>35.28857143</v>
      </c>
      <c r="H5" s="61">
        <f t="shared" si="2"/>
        <v>2148</v>
      </c>
      <c r="I5" s="67">
        <f t="shared" si="3"/>
        <v>34582.8</v>
      </c>
      <c r="J5" s="61">
        <f t="shared" si="4"/>
        <v>4296</v>
      </c>
      <c r="K5" s="67">
        <f t="shared" si="5"/>
        <v>69165.6</v>
      </c>
      <c r="L5" s="68">
        <f>K5/L3</f>
        <v>69.1656</v>
      </c>
      <c r="M5" s="45"/>
    </row>
    <row r="6">
      <c r="A6" s="70" t="s">
        <v>102</v>
      </c>
      <c r="B6" s="71">
        <v>30.0</v>
      </c>
      <c r="C6" s="66">
        <v>60.0</v>
      </c>
      <c r="D6" s="66">
        <v>0.7</v>
      </c>
      <c r="E6" s="66">
        <v>0.0184</v>
      </c>
      <c r="F6" s="66">
        <f t="shared" ref="F6:F9" si="6">B6*C6*D6*E7</f>
        <v>23.184</v>
      </c>
      <c r="G6" s="67">
        <f>F6*G3</f>
        <v>50.81554286</v>
      </c>
      <c r="H6" s="61">
        <f t="shared" si="2"/>
        <v>2148</v>
      </c>
      <c r="I6" s="67">
        <f t="shared" si="3"/>
        <v>49799.232</v>
      </c>
      <c r="J6" s="61">
        <f t="shared" si="4"/>
        <v>4296</v>
      </c>
      <c r="K6" s="67">
        <f t="shared" si="5"/>
        <v>99598.464</v>
      </c>
      <c r="L6" s="68">
        <f>K6/L3</f>
        <v>99.598464</v>
      </c>
      <c r="M6" s="45"/>
    </row>
    <row r="7">
      <c r="A7" s="72" t="s">
        <v>103</v>
      </c>
      <c r="B7" s="66">
        <v>35.0</v>
      </c>
      <c r="C7" s="66">
        <v>60.0</v>
      </c>
      <c r="D7" s="66">
        <v>0.7</v>
      </c>
      <c r="E7" s="66">
        <v>0.0184</v>
      </c>
      <c r="F7" s="66">
        <f t="shared" si="6"/>
        <v>27.048</v>
      </c>
      <c r="G7" s="67">
        <f>F7*G3</f>
        <v>59.2848</v>
      </c>
      <c r="H7" s="61">
        <f t="shared" si="2"/>
        <v>2148</v>
      </c>
      <c r="I7" s="67">
        <f t="shared" si="3"/>
        <v>58099.104</v>
      </c>
      <c r="J7" s="61">
        <f t="shared" si="4"/>
        <v>4296</v>
      </c>
      <c r="K7" s="67">
        <f t="shared" si="5"/>
        <v>116198.208</v>
      </c>
      <c r="L7" s="68">
        <f>K7/L3</f>
        <v>116.198208</v>
      </c>
      <c r="M7" s="45"/>
    </row>
    <row r="8">
      <c r="A8" s="72" t="s">
        <v>104</v>
      </c>
      <c r="B8" s="66">
        <v>40.0</v>
      </c>
      <c r="C8" s="66">
        <v>60.0</v>
      </c>
      <c r="D8" s="66">
        <v>0.7</v>
      </c>
      <c r="E8" s="66">
        <v>0.0184</v>
      </c>
      <c r="F8" s="66">
        <f t="shared" si="6"/>
        <v>30.912</v>
      </c>
      <c r="G8" s="67">
        <f>F8*G3</f>
        <v>67.75405714</v>
      </c>
      <c r="H8" s="61">
        <f t="shared" si="2"/>
        <v>2148</v>
      </c>
      <c r="I8" s="67">
        <f t="shared" si="3"/>
        <v>66398.976</v>
      </c>
      <c r="J8" s="61">
        <f t="shared" si="4"/>
        <v>4296</v>
      </c>
      <c r="K8" s="67">
        <f t="shared" si="5"/>
        <v>132797.952</v>
      </c>
      <c r="L8" s="68">
        <f>K8/L3</f>
        <v>132.797952</v>
      </c>
      <c r="M8" s="45"/>
    </row>
    <row r="9">
      <c r="A9" s="73" t="s">
        <v>105</v>
      </c>
      <c r="B9" s="65">
        <v>40.0</v>
      </c>
      <c r="C9" s="66">
        <v>80.0</v>
      </c>
      <c r="D9" s="66">
        <v>0.7</v>
      </c>
      <c r="E9" s="66">
        <v>0.0184</v>
      </c>
      <c r="F9" s="66">
        <f t="shared" si="6"/>
        <v>41.216</v>
      </c>
      <c r="G9" s="67">
        <f>F9*G3</f>
        <v>90.33874286</v>
      </c>
      <c r="H9" s="61">
        <f t="shared" si="2"/>
        <v>2148</v>
      </c>
      <c r="I9" s="67">
        <f t="shared" si="3"/>
        <v>88531.968</v>
      </c>
      <c r="J9" s="61">
        <f t="shared" si="4"/>
        <v>4296</v>
      </c>
      <c r="K9" s="67">
        <f t="shared" si="5"/>
        <v>177063.936</v>
      </c>
      <c r="L9" s="68">
        <f>K9/L3</f>
        <v>177.063936</v>
      </c>
      <c r="M9" s="45"/>
    </row>
    <row r="10">
      <c r="A10" s="73" t="s">
        <v>106</v>
      </c>
      <c r="B10" s="65">
        <v>40.0</v>
      </c>
      <c r="C10" s="66">
        <v>95.0</v>
      </c>
      <c r="D10" s="66">
        <v>0.7</v>
      </c>
      <c r="E10" s="66">
        <v>0.0184</v>
      </c>
      <c r="F10" s="66">
        <f>B10*C10*D10*E9</f>
        <v>48.944</v>
      </c>
      <c r="G10" s="67">
        <f>F10*G3</f>
        <v>107.2772571</v>
      </c>
      <c r="H10" s="61">
        <f t="shared" si="2"/>
        <v>2148</v>
      </c>
      <c r="I10" s="67">
        <f t="shared" si="3"/>
        <v>105131.712</v>
      </c>
      <c r="J10" s="61">
        <f t="shared" si="4"/>
        <v>4296</v>
      </c>
      <c r="K10" s="67">
        <f t="shared" si="5"/>
        <v>210263.424</v>
      </c>
      <c r="L10" s="68">
        <f>K10/L3</f>
        <v>210.263424</v>
      </c>
      <c r="M10" s="45"/>
    </row>
    <row r="1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</row>
    <row r="12">
      <c r="A12" s="46" t="s">
        <v>89</v>
      </c>
      <c r="B12" s="47" t="s">
        <v>90</v>
      </c>
      <c r="C12" s="48"/>
      <c r="D12" s="49"/>
      <c r="E12" s="50"/>
      <c r="F12" s="51" t="s">
        <v>91</v>
      </c>
      <c r="G12" s="52" t="s">
        <v>92</v>
      </c>
      <c r="H12" s="52" t="s">
        <v>93</v>
      </c>
      <c r="I12" s="53" t="s">
        <v>94</v>
      </c>
      <c r="J12" s="54" t="s">
        <v>95</v>
      </c>
      <c r="K12" s="54" t="s">
        <v>96</v>
      </c>
      <c r="L12" s="55" t="s">
        <v>97</v>
      </c>
      <c r="M12" s="45"/>
    </row>
    <row r="13">
      <c r="A13" s="56"/>
      <c r="B13" s="57" t="s">
        <v>98</v>
      </c>
      <c r="C13" s="48"/>
      <c r="D13" s="48"/>
      <c r="E13" s="58"/>
      <c r="F13" s="59" t="s">
        <v>99</v>
      </c>
      <c r="G13" s="60">
        <f>H13/I13</f>
        <v>2.191836735</v>
      </c>
      <c r="H13" s="61">
        <f>1898+250</f>
        <v>2148</v>
      </c>
      <c r="I13" s="60">
        <v>980.0</v>
      </c>
      <c r="J13" s="61">
        <f>H13*2</f>
        <v>4296</v>
      </c>
      <c r="K13" s="62">
        <v>1.0</v>
      </c>
      <c r="L13" s="63">
        <v>1000.0</v>
      </c>
      <c r="M13" s="45"/>
    </row>
    <row r="14">
      <c r="A14" s="64" t="s">
        <v>100</v>
      </c>
      <c r="B14" s="65">
        <v>20.0</v>
      </c>
      <c r="C14" s="66">
        <v>30.0</v>
      </c>
      <c r="D14" s="66">
        <v>0.5</v>
      </c>
      <c r="E14" s="66">
        <v>0.0184</v>
      </c>
      <c r="F14" s="66">
        <f t="shared" ref="F14:F15" si="7">E14*D14*C14*B14</f>
        <v>5.52</v>
      </c>
      <c r="G14" s="67">
        <f>F14*G13</f>
        <v>12.09893878</v>
      </c>
      <c r="H14" s="61">
        <f t="shared" ref="H14:H20" si="8">H13</f>
        <v>2148</v>
      </c>
      <c r="I14" s="67">
        <f t="shared" ref="I14:I20" si="9">F14*H14</f>
        <v>11856.96</v>
      </c>
      <c r="J14" s="61">
        <f t="shared" ref="J14:J20" si="10">J13</f>
        <v>4296</v>
      </c>
      <c r="K14" s="67">
        <f t="shared" ref="K14:K20" si="11">J14*F14</f>
        <v>23713.92</v>
      </c>
      <c r="L14" s="68">
        <f>K14/L13</f>
        <v>23.71392</v>
      </c>
      <c r="M14" s="45"/>
    </row>
    <row r="15">
      <c r="A15" s="69" t="s">
        <v>101</v>
      </c>
      <c r="B15" s="65">
        <v>25.0</v>
      </c>
      <c r="C15" s="66">
        <v>50.0</v>
      </c>
      <c r="D15" s="66">
        <v>0.5</v>
      </c>
      <c r="E15" s="66">
        <v>0.0184</v>
      </c>
      <c r="F15" s="66">
        <f t="shared" si="7"/>
        <v>11.5</v>
      </c>
      <c r="G15" s="67">
        <f>F15*G13</f>
        <v>25.20612245</v>
      </c>
      <c r="H15" s="61">
        <f t="shared" si="8"/>
        <v>2148</v>
      </c>
      <c r="I15" s="67">
        <f t="shared" si="9"/>
        <v>24702</v>
      </c>
      <c r="J15" s="61">
        <f t="shared" si="10"/>
        <v>4296</v>
      </c>
      <c r="K15" s="67">
        <f t="shared" si="11"/>
        <v>49404</v>
      </c>
      <c r="L15" s="68">
        <f>K15/L13</f>
        <v>49.404</v>
      </c>
      <c r="M15" s="45"/>
    </row>
    <row r="16">
      <c r="A16" s="70" t="s">
        <v>102</v>
      </c>
      <c r="B16" s="71">
        <v>30.0</v>
      </c>
      <c r="C16" s="66">
        <v>60.0</v>
      </c>
      <c r="D16" s="66">
        <v>0.5</v>
      </c>
      <c r="E16" s="66">
        <v>0.0184</v>
      </c>
      <c r="F16" s="66">
        <f t="shared" ref="F16:F19" si="12">B16*C16*D16*E17</f>
        <v>16.56</v>
      </c>
      <c r="G16" s="67">
        <f>F16*G13</f>
        <v>36.29681633</v>
      </c>
      <c r="H16" s="61">
        <f t="shared" si="8"/>
        <v>2148</v>
      </c>
      <c r="I16" s="67">
        <f t="shared" si="9"/>
        <v>35570.88</v>
      </c>
      <c r="J16" s="61">
        <f t="shared" si="10"/>
        <v>4296</v>
      </c>
      <c r="K16" s="67">
        <f t="shared" si="11"/>
        <v>71141.76</v>
      </c>
      <c r="L16" s="68">
        <f>K16/L13</f>
        <v>71.14176</v>
      </c>
      <c r="M16" s="45"/>
    </row>
    <row r="17">
      <c r="A17" s="72" t="s">
        <v>103</v>
      </c>
      <c r="B17" s="66">
        <v>35.0</v>
      </c>
      <c r="C17" s="66">
        <v>60.0</v>
      </c>
      <c r="D17" s="66">
        <v>0.5</v>
      </c>
      <c r="E17" s="66">
        <v>0.0184</v>
      </c>
      <c r="F17" s="66">
        <f t="shared" si="12"/>
        <v>19.32</v>
      </c>
      <c r="G17" s="67">
        <f>F17*G13</f>
        <v>42.34628571</v>
      </c>
      <c r="H17" s="61">
        <f t="shared" si="8"/>
        <v>2148</v>
      </c>
      <c r="I17" s="67">
        <f t="shared" si="9"/>
        <v>41499.36</v>
      </c>
      <c r="J17" s="61">
        <f t="shared" si="10"/>
        <v>4296</v>
      </c>
      <c r="K17" s="67">
        <f t="shared" si="11"/>
        <v>82998.72</v>
      </c>
      <c r="L17" s="68">
        <f>K17/L13</f>
        <v>82.99872</v>
      </c>
      <c r="M17" s="45"/>
    </row>
    <row r="18">
      <c r="A18" s="72" t="s">
        <v>104</v>
      </c>
      <c r="B18" s="66">
        <v>40.0</v>
      </c>
      <c r="C18" s="66">
        <v>60.0</v>
      </c>
      <c r="D18" s="66">
        <v>0.5</v>
      </c>
      <c r="E18" s="66">
        <v>0.0184</v>
      </c>
      <c r="F18" s="66">
        <f t="shared" si="12"/>
        <v>22.08</v>
      </c>
      <c r="G18" s="67">
        <f>F18*G13</f>
        <v>48.3957551</v>
      </c>
      <c r="H18" s="61">
        <f t="shared" si="8"/>
        <v>2148</v>
      </c>
      <c r="I18" s="67">
        <f t="shared" si="9"/>
        <v>47427.84</v>
      </c>
      <c r="J18" s="61">
        <f t="shared" si="10"/>
        <v>4296</v>
      </c>
      <c r="K18" s="67">
        <f t="shared" si="11"/>
        <v>94855.68</v>
      </c>
      <c r="L18" s="68">
        <f>K18/L13</f>
        <v>94.85568</v>
      </c>
      <c r="M18" s="45"/>
    </row>
    <row r="19">
      <c r="A19" s="73" t="s">
        <v>105</v>
      </c>
      <c r="B19" s="65">
        <v>40.0</v>
      </c>
      <c r="C19" s="66">
        <v>80.0</v>
      </c>
      <c r="D19" s="66">
        <v>0.5</v>
      </c>
      <c r="E19" s="66">
        <v>0.0184</v>
      </c>
      <c r="F19" s="66">
        <f t="shared" si="12"/>
        <v>29.44</v>
      </c>
      <c r="G19" s="67">
        <f>F19*G13</f>
        <v>64.52767347</v>
      </c>
      <c r="H19" s="61">
        <f t="shared" si="8"/>
        <v>2148</v>
      </c>
      <c r="I19" s="67">
        <f t="shared" si="9"/>
        <v>63237.12</v>
      </c>
      <c r="J19" s="61">
        <f t="shared" si="10"/>
        <v>4296</v>
      </c>
      <c r="K19" s="67">
        <f t="shared" si="11"/>
        <v>126474.24</v>
      </c>
      <c r="L19" s="68">
        <f>K19/L13</f>
        <v>126.47424</v>
      </c>
      <c r="M19" s="45"/>
    </row>
    <row r="20">
      <c r="A20" s="73" t="s">
        <v>106</v>
      </c>
      <c r="B20" s="65">
        <v>40.0</v>
      </c>
      <c r="C20" s="66">
        <v>95.0</v>
      </c>
      <c r="D20" s="66">
        <v>0.5</v>
      </c>
      <c r="E20" s="66">
        <v>0.0184</v>
      </c>
      <c r="F20" s="66">
        <f>B20*C20*D20*E19</f>
        <v>34.96</v>
      </c>
      <c r="G20" s="67">
        <f>F20*G13</f>
        <v>76.62661224</v>
      </c>
      <c r="H20" s="61">
        <f t="shared" si="8"/>
        <v>2148</v>
      </c>
      <c r="I20" s="67">
        <f t="shared" si="9"/>
        <v>75094.08</v>
      </c>
      <c r="J20" s="61">
        <f t="shared" si="10"/>
        <v>4296</v>
      </c>
      <c r="K20" s="67">
        <f t="shared" si="11"/>
        <v>150188.16</v>
      </c>
      <c r="L20" s="68">
        <f>K20/L13</f>
        <v>150.18816</v>
      </c>
      <c r="M20" s="45"/>
    </row>
    <row r="21" ht="18.0" customHeight="1">
      <c r="A21" s="74"/>
      <c r="B21" s="75"/>
      <c r="C21" s="76"/>
      <c r="D21" s="76"/>
      <c r="E21" s="76"/>
      <c r="F21" s="76"/>
      <c r="G21" s="77"/>
      <c r="H21" s="77"/>
      <c r="I21" s="77"/>
      <c r="J21" s="77"/>
      <c r="K21" s="77"/>
      <c r="L21" s="77"/>
      <c r="M21" s="45"/>
    </row>
    <row r="22" ht="15.75" customHeight="1">
      <c r="A22" s="46" t="s">
        <v>89</v>
      </c>
      <c r="B22" s="47" t="s">
        <v>90</v>
      </c>
      <c r="C22" s="48"/>
      <c r="D22" s="48"/>
      <c r="E22" s="49"/>
      <c r="F22" s="51" t="s">
        <v>91</v>
      </c>
      <c r="G22" s="52" t="s">
        <v>92</v>
      </c>
      <c r="H22" s="52" t="s">
        <v>93</v>
      </c>
      <c r="I22" s="53" t="s">
        <v>94</v>
      </c>
      <c r="J22" s="54" t="s">
        <v>95</v>
      </c>
      <c r="K22" s="54" t="s">
        <v>96</v>
      </c>
      <c r="L22" s="55" t="s">
        <v>97</v>
      </c>
      <c r="M22" s="45"/>
    </row>
    <row r="23" ht="15.75" customHeight="1">
      <c r="A23" s="78"/>
      <c r="B23" s="57" t="s">
        <v>98</v>
      </c>
      <c r="C23" s="48"/>
      <c r="D23" s="48"/>
      <c r="E23" s="58"/>
      <c r="F23" s="51"/>
      <c r="G23" s="79">
        <f>H23/970</f>
        <v>1.206958763</v>
      </c>
      <c r="H23" s="79">
        <v>1170.75</v>
      </c>
      <c r="I23" s="80">
        <v>980.0</v>
      </c>
      <c r="J23" s="81">
        <f t="shared" ref="J23:J28" si="13">H23*2</f>
        <v>2341.5</v>
      </c>
      <c r="K23" s="82">
        <v>1.0</v>
      </c>
      <c r="L23" s="83">
        <v>1000.0</v>
      </c>
      <c r="M23" s="45"/>
    </row>
    <row r="24" ht="15.75" customHeight="1">
      <c r="A24" s="64" t="s">
        <v>107</v>
      </c>
      <c r="B24" s="65">
        <v>34.0</v>
      </c>
      <c r="C24" s="66">
        <v>60.0</v>
      </c>
      <c r="D24" s="66">
        <v>0.6</v>
      </c>
      <c r="E24" s="66">
        <v>0.0184</v>
      </c>
      <c r="F24" s="66">
        <f t="shared" ref="F24:F25" si="14">E24*D24*C24*B24</f>
        <v>22.5216</v>
      </c>
      <c r="G24" s="67">
        <f>F24*G23</f>
        <v>27.18264247</v>
      </c>
      <c r="H24" s="79">
        <v>1170.75</v>
      </c>
      <c r="I24" s="67">
        <f t="shared" ref="I24:I28" si="15">F24*H24</f>
        <v>26367.1632</v>
      </c>
      <c r="J24" s="84">
        <f t="shared" si="13"/>
        <v>2341.5</v>
      </c>
      <c r="K24" s="67">
        <f t="shared" ref="K24:K28" si="16">J24*F24</f>
        <v>52734.3264</v>
      </c>
      <c r="L24" s="68">
        <f t="shared" ref="L24:L28" si="17">K24/1000</f>
        <v>52.7343264</v>
      </c>
      <c r="M24" s="45"/>
    </row>
    <row r="25" ht="15.75" customHeight="1">
      <c r="A25" s="64" t="s">
        <v>108</v>
      </c>
      <c r="B25" s="65">
        <v>38.0</v>
      </c>
      <c r="C25" s="66">
        <v>60.0</v>
      </c>
      <c r="D25" s="66">
        <v>0.6</v>
      </c>
      <c r="E25" s="66">
        <v>0.0184</v>
      </c>
      <c r="F25" s="66">
        <f t="shared" si="14"/>
        <v>25.1712</v>
      </c>
      <c r="G25" s="67">
        <f>F25*G23</f>
        <v>30.38060041</v>
      </c>
      <c r="H25" s="79">
        <v>1170.75</v>
      </c>
      <c r="I25" s="67">
        <f t="shared" si="15"/>
        <v>29469.1824</v>
      </c>
      <c r="J25" s="84">
        <f t="shared" si="13"/>
        <v>2341.5</v>
      </c>
      <c r="K25" s="67">
        <f t="shared" si="16"/>
        <v>58938.3648</v>
      </c>
      <c r="L25" s="68">
        <f t="shared" si="17"/>
        <v>58.9383648</v>
      </c>
      <c r="M25" s="45"/>
    </row>
    <row r="26" ht="15.75" customHeight="1">
      <c r="A26" s="64" t="s">
        <v>109</v>
      </c>
      <c r="B26" s="71">
        <v>44.0</v>
      </c>
      <c r="C26" s="66">
        <v>80.0</v>
      </c>
      <c r="D26" s="66">
        <v>0.8</v>
      </c>
      <c r="E26" s="66">
        <v>0.0184</v>
      </c>
      <c r="F26" s="66">
        <f t="shared" ref="F26:F27" si="18">B26*C26*D26*E27</f>
        <v>51.8144</v>
      </c>
      <c r="G26" s="67">
        <f>F26*G23</f>
        <v>62.53784412</v>
      </c>
      <c r="H26" s="79">
        <v>1170.75</v>
      </c>
      <c r="I26" s="67">
        <f t="shared" si="15"/>
        <v>60661.7088</v>
      </c>
      <c r="J26" s="84">
        <f t="shared" si="13"/>
        <v>2341.5</v>
      </c>
      <c r="K26" s="67">
        <f t="shared" si="16"/>
        <v>121323.4176</v>
      </c>
      <c r="L26" s="68">
        <f t="shared" si="17"/>
        <v>121.3234176</v>
      </c>
      <c r="M26" s="45"/>
    </row>
    <row r="27" ht="15.75" customHeight="1">
      <c r="A27" s="64" t="s">
        <v>110</v>
      </c>
      <c r="B27" s="85">
        <v>49.0</v>
      </c>
      <c r="C27" s="85">
        <v>80.0</v>
      </c>
      <c r="D27" s="85">
        <v>0.8</v>
      </c>
      <c r="E27" s="85">
        <v>0.0184</v>
      </c>
      <c r="F27" s="85">
        <f t="shared" si="18"/>
        <v>57.7024</v>
      </c>
      <c r="G27" s="67">
        <f>F27*G23</f>
        <v>69.64441732</v>
      </c>
      <c r="H27" s="79">
        <v>1170.75</v>
      </c>
      <c r="I27" s="86">
        <f t="shared" si="15"/>
        <v>67555.0848</v>
      </c>
      <c r="J27" s="84">
        <f t="shared" si="13"/>
        <v>2341.5</v>
      </c>
      <c r="K27" s="86">
        <f t="shared" si="16"/>
        <v>135110.1696</v>
      </c>
      <c r="L27" s="68">
        <f t="shared" si="17"/>
        <v>135.1101696</v>
      </c>
      <c r="M27" s="45"/>
    </row>
    <row r="28" ht="21.0" customHeight="1">
      <c r="A28" s="87" t="s">
        <v>111</v>
      </c>
      <c r="B28" s="88">
        <v>40.0</v>
      </c>
      <c r="C28" s="88">
        <v>75.0</v>
      </c>
      <c r="D28" s="88">
        <v>0.8</v>
      </c>
      <c r="E28" s="88">
        <v>0.0184</v>
      </c>
      <c r="F28" s="88">
        <f>E28*D28*C28*B28</f>
        <v>44.16</v>
      </c>
      <c r="G28" s="67">
        <f>F28*G23</f>
        <v>53.29929897</v>
      </c>
      <c r="H28" s="79">
        <v>1170.75</v>
      </c>
      <c r="I28" s="89">
        <f t="shared" si="15"/>
        <v>51700.32</v>
      </c>
      <c r="J28" s="84">
        <f t="shared" si="13"/>
        <v>2341.5</v>
      </c>
      <c r="K28" s="89">
        <f t="shared" si="16"/>
        <v>103400.64</v>
      </c>
      <c r="L28" s="68">
        <f t="shared" si="17"/>
        <v>103.40064</v>
      </c>
      <c r="M28" s="45"/>
    </row>
    <row r="29" ht="15.75" customHeight="1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</row>
    <row r="30" ht="15.75" customHeight="1">
      <c r="A30" s="46" t="s">
        <v>89</v>
      </c>
      <c r="B30" s="47" t="s">
        <v>90</v>
      </c>
      <c r="C30" s="48"/>
      <c r="D30" s="48"/>
      <c r="E30" s="49"/>
      <c r="F30" s="51" t="s">
        <v>91</v>
      </c>
      <c r="G30" s="52" t="s">
        <v>92</v>
      </c>
      <c r="H30" s="52" t="s">
        <v>93</v>
      </c>
      <c r="I30" s="53" t="s">
        <v>94</v>
      </c>
      <c r="J30" s="54" t="s">
        <v>95</v>
      </c>
      <c r="K30" s="54" t="s">
        <v>96</v>
      </c>
      <c r="L30" s="55" t="s">
        <v>97</v>
      </c>
      <c r="M30" s="45"/>
    </row>
    <row r="31" ht="15.75" customHeight="1">
      <c r="A31" s="78"/>
      <c r="B31" s="57" t="s">
        <v>98</v>
      </c>
      <c r="C31" s="48"/>
      <c r="D31" s="48"/>
      <c r="E31" s="58"/>
      <c r="F31" s="51"/>
      <c r="G31" s="79">
        <f>H31/970</f>
        <v>1.206958763</v>
      </c>
      <c r="H31" s="79">
        <v>1170.75</v>
      </c>
      <c r="I31" s="80">
        <v>980.0</v>
      </c>
      <c r="J31" s="81">
        <v>1800.0</v>
      </c>
      <c r="K31" s="82">
        <v>1.0</v>
      </c>
      <c r="L31" s="83">
        <v>1000.0</v>
      </c>
      <c r="M31" s="45"/>
    </row>
    <row r="32" ht="15.75" customHeight="1">
      <c r="A32" s="64" t="s">
        <v>112</v>
      </c>
      <c r="B32" s="65">
        <v>25.0</v>
      </c>
      <c r="C32" s="66">
        <v>55.0</v>
      </c>
      <c r="D32" s="66">
        <v>0.7</v>
      </c>
      <c r="E32" s="66">
        <v>0.0184</v>
      </c>
      <c r="F32" s="66">
        <f t="shared" ref="F32:F34" si="19">E32*D32*C32*B32</f>
        <v>17.71</v>
      </c>
      <c r="G32" s="67">
        <f>F32*G31</f>
        <v>21.37523969</v>
      </c>
      <c r="H32" s="79">
        <v>1170.75</v>
      </c>
      <c r="I32" s="67">
        <f t="shared" ref="I32:I34" si="20">F32*H32</f>
        <v>20733.9825</v>
      </c>
      <c r="J32" s="81">
        <v>1800.0</v>
      </c>
      <c r="K32" s="67">
        <f t="shared" ref="K32:K34" si="21">J32*F32</f>
        <v>31878</v>
      </c>
      <c r="L32" s="68">
        <f t="shared" ref="L32:L34" si="22">K32/1000</f>
        <v>31.878</v>
      </c>
      <c r="M32" s="45"/>
    </row>
    <row r="33" ht="15.75" customHeight="1">
      <c r="A33" s="64" t="s">
        <v>113</v>
      </c>
      <c r="B33" s="65">
        <v>40.0</v>
      </c>
      <c r="C33" s="66">
        <v>70.0</v>
      </c>
      <c r="D33" s="66">
        <v>0.7</v>
      </c>
      <c r="E33" s="66">
        <v>0.0184</v>
      </c>
      <c r="F33" s="66">
        <f t="shared" si="19"/>
        <v>36.064</v>
      </c>
      <c r="G33" s="67">
        <f>F33*G31</f>
        <v>43.52776082</v>
      </c>
      <c r="H33" s="79">
        <v>1170.75</v>
      </c>
      <c r="I33" s="67">
        <f t="shared" si="20"/>
        <v>42221.928</v>
      </c>
      <c r="J33" s="81">
        <v>1800.0</v>
      </c>
      <c r="K33" s="67">
        <f t="shared" si="21"/>
        <v>64915.2</v>
      </c>
      <c r="L33" s="68">
        <f t="shared" si="22"/>
        <v>64.9152</v>
      </c>
      <c r="M33" s="45"/>
    </row>
    <row r="34" ht="15.75" customHeight="1">
      <c r="A34" s="64" t="s">
        <v>114</v>
      </c>
      <c r="B34" s="71">
        <v>60.0</v>
      </c>
      <c r="C34" s="66">
        <v>80.0</v>
      </c>
      <c r="D34" s="66">
        <v>0.8</v>
      </c>
      <c r="E34" s="66">
        <v>0.0184</v>
      </c>
      <c r="F34" s="66">
        <f t="shared" si="19"/>
        <v>70.656</v>
      </c>
      <c r="G34" s="67">
        <f>F34*G31</f>
        <v>85.27887835</v>
      </c>
      <c r="H34" s="79">
        <v>1170.75</v>
      </c>
      <c r="I34" s="67">
        <f t="shared" si="20"/>
        <v>82720.512</v>
      </c>
      <c r="J34" s="81">
        <v>1800.0</v>
      </c>
      <c r="K34" s="67">
        <f t="shared" si="21"/>
        <v>127180.8</v>
      </c>
      <c r="L34" s="68">
        <f t="shared" si="22"/>
        <v>127.1808</v>
      </c>
      <c r="M34" s="45"/>
    </row>
    <row r="35" ht="15.7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</row>
    <row r="36" ht="15.75" customHeight="1">
      <c r="A36" s="46" t="s">
        <v>89</v>
      </c>
      <c r="B36" s="47" t="s">
        <v>90</v>
      </c>
      <c r="C36" s="48"/>
      <c r="D36" s="48"/>
      <c r="E36" s="49"/>
      <c r="F36" s="51" t="s">
        <v>91</v>
      </c>
      <c r="G36" s="52" t="s">
        <v>92</v>
      </c>
      <c r="H36" s="52" t="s">
        <v>93</v>
      </c>
      <c r="I36" s="53" t="s">
        <v>94</v>
      </c>
      <c r="J36" s="54" t="s">
        <v>95</v>
      </c>
      <c r="K36" s="54" t="s">
        <v>96</v>
      </c>
      <c r="L36" s="55" t="s">
        <v>97</v>
      </c>
      <c r="M36" s="45"/>
    </row>
    <row r="37" ht="15.75" customHeight="1">
      <c r="A37" s="78"/>
      <c r="B37" s="57" t="s">
        <v>98</v>
      </c>
      <c r="C37" s="48"/>
      <c r="D37" s="48"/>
      <c r="E37" s="58"/>
      <c r="F37" s="51"/>
      <c r="G37" s="79">
        <f>H37/970</f>
        <v>1.258505155</v>
      </c>
      <c r="H37" s="79">
        <f t="shared" ref="H37:H41" si="23">1170.75+50</f>
        <v>1220.75</v>
      </c>
      <c r="I37" s="80">
        <v>980.0</v>
      </c>
      <c r="J37" s="81">
        <v>1700.0</v>
      </c>
      <c r="K37" s="82">
        <v>0.31</v>
      </c>
      <c r="L37" s="83">
        <v>1000.0</v>
      </c>
      <c r="M37" s="45"/>
    </row>
    <row r="38" ht="15.75" customHeight="1">
      <c r="A38" s="64" t="s">
        <v>115</v>
      </c>
      <c r="B38" s="65">
        <v>45.0</v>
      </c>
      <c r="C38" s="66">
        <v>60.0</v>
      </c>
      <c r="D38" s="66">
        <v>0.25</v>
      </c>
      <c r="E38" s="66">
        <v>0.0184</v>
      </c>
      <c r="F38" s="66">
        <f t="shared" ref="F38:F41" si="24">E38*D38*C38*B38</f>
        <v>12.42</v>
      </c>
      <c r="G38" s="67">
        <f>F38*G37</f>
        <v>15.63063402</v>
      </c>
      <c r="H38" s="79">
        <f t="shared" si="23"/>
        <v>1220.75</v>
      </c>
      <c r="I38" s="67">
        <f t="shared" ref="I38:I41" si="25">F38*H38</f>
        <v>15161.715</v>
      </c>
      <c r="J38" s="81">
        <v>1700.0</v>
      </c>
      <c r="K38" s="67">
        <f t="shared" ref="K38:K41" si="26">J38*F38</f>
        <v>21114</v>
      </c>
      <c r="L38" s="68">
        <f t="shared" ref="L38:L41" si="27">K38/1000</f>
        <v>21.114</v>
      </c>
      <c r="M38" s="45"/>
    </row>
    <row r="39" ht="15.75" customHeight="1">
      <c r="A39" s="64" t="s">
        <v>115</v>
      </c>
      <c r="B39" s="65">
        <v>50.0</v>
      </c>
      <c r="C39" s="66">
        <v>70.0</v>
      </c>
      <c r="D39" s="66">
        <v>0.25</v>
      </c>
      <c r="E39" s="66">
        <v>0.0184</v>
      </c>
      <c r="F39" s="66">
        <f t="shared" si="24"/>
        <v>16.1</v>
      </c>
      <c r="G39" s="67">
        <f>F39*G37</f>
        <v>20.26193299</v>
      </c>
      <c r="H39" s="79">
        <f t="shared" si="23"/>
        <v>1220.75</v>
      </c>
      <c r="I39" s="67">
        <f t="shared" si="25"/>
        <v>19654.075</v>
      </c>
      <c r="J39" s="81">
        <v>1700.0</v>
      </c>
      <c r="K39" s="67">
        <f t="shared" si="26"/>
        <v>27370</v>
      </c>
      <c r="L39" s="68">
        <f t="shared" si="27"/>
        <v>27.37</v>
      </c>
      <c r="M39" s="45"/>
    </row>
    <row r="40" ht="15.75" customHeight="1">
      <c r="A40" s="64" t="s">
        <v>115</v>
      </c>
      <c r="B40" s="65">
        <v>60.0</v>
      </c>
      <c r="C40" s="66">
        <v>90.0</v>
      </c>
      <c r="D40" s="66">
        <v>0.25</v>
      </c>
      <c r="E40" s="66">
        <v>0.0184</v>
      </c>
      <c r="F40" s="66">
        <f t="shared" si="24"/>
        <v>24.84</v>
      </c>
      <c r="G40" s="67">
        <f>F40*G37</f>
        <v>31.26126804</v>
      </c>
      <c r="H40" s="79">
        <f t="shared" si="23"/>
        <v>1220.75</v>
      </c>
      <c r="I40" s="67">
        <f t="shared" si="25"/>
        <v>30323.43</v>
      </c>
      <c r="J40" s="81">
        <v>1700.0</v>
      </c>
      <c r="K40" s="67">
        <f t="shared" si="26"/>
        <v>42228</v>
      </c>
      <c r="L40" s="68">
        <f t="shared" si="27"/>
        <v>42.228</v>
      </c>
      <c r="M40" s="45"/>
    </row>
    <row r="41" ht="15.75" customHeight="1">
      <c r="A41" s="64" t="s">
        <v>115</v>
      </c>
      <c r="B41" s="71">
        <v>80.0</v>
      </c>
      <c r="C41" s="66">
        <v>110.0</v>
      </c>
      <c r="D41" s="66">
        <v>0.3</v>
      </c>
      <c r="E41" s="66">
        <v>0.0184</v>
      </c>
      <c r="F41" s="66">
        <f t="shared" si="24"/>
        <v>48.576</v>
      </c>
      <c r="G41" s="67">
        <f>F41*G37</f>
        <v>61.13314639</v>
      </c>
      <c r="H41" s="79">
        <f t="shared" si="23"/>
        <v>1220.75</v>
      </c>
      <c r="I41" s="67">
        <f t="shared" si="25"/>
        <v>59299.152</v>
      </c>
      <c r="J41" s="81">
        <v>1700.0</v>
      </c>
      <c r="K41" s="67">
        <f t="shared" si="26"/>
        <v>82579.2</v>
      </c>
      <c r="L41" s="68">
        <f t="shared" si="27"/>
        <v>82.5792</v>
      </c>
      <c r="M41" s="45"/>
    </row>
    <row r="42" ht="15.7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</row>
    <row r="43" ht="15.75" customHeight="1">
      <c r="A43" s="46" t="s">
        <v>89</v>
      </c>
      <c r="B43" s="47" t="s">
        <v>90</v>
      </c>
      <c r="C43" s="48"/>
      <c r="D43" s="48"/>
      <c r="E43" s="49"/>
      <c r="F43" s="51" t="s">
        <v>91</v>
      </c>
      <c r="G43" s="52" t="s">
        <v>92</v>
      </c>
      <c r="H43" s="52" t="s">
        <v>93</v>
      </c>
      <c r="I43" s="53" t="s">
        <v>94</v>
      </c>
      <c r="J43" s="54" t="s">
        <v>95</v>
      </c>
      <c r="K43" s="54" t="s">
        <v>96</v>
      </c>
      <c r="L43" s="55" t="s">
        <v>97</v>
      </c>
      <c r="M43" s="45"/>
    </row>
    <row r="44" ht="15.75" customHeight="1">
      <c r="A44" s="78"/>
      <c r="B44" s="57" t="s">
        <v>98</v>
      </c>
      <c r="C44" s="48"/>
      <c r="D44" s="48"/>
      <c r="E44" s="58"/>
      <c r="F44" s="51"/>
      <c r="G44" s="79">
        <f>H44/970</f>
        <v>1.258505155</v>
      </c>
      <c r="H44" s="79">
        <f t="shared" ref="H44:H49" si="28">1170.75+50</f>
        <v>1220.75</v>
      </c>
      <c r="I44" s="80">
        <v>980.0</v>
      </c>
      <c r="J44" s="81">
        <v>1700.0</v>
      </c>
      <c r="K44" s="82">
        <v>0.31</v>
      </c>
      <c r="L44" s="83">
        <v>1000.0</v>
      </c>
      <c r="M44" s="45"/>
    </row>
    <row r="45" ht="15.75" customHeight="1">
      <c r="A45" s="64" t="s">
        <v>116</v>
      </c>
      <c r="B45" s="65">
        <v>45.0</v>
      </c>
      <c r="C45" s="66">
        <v>60.0</v>
      </c>
      <c r="D45" s="66">
        <v>0.4</v>
      </c>
      <c r="E45" s="66">
        <v>0.0184</v>
      </c>
      <c r="F45" s="66">
        <f t="shared" ref="F45:F49" si="29">E45*D45*C45*B45</f>
        <v>19.872</v>
      </c>
      <c r="G45" s="67">
        <f>F45*G44</f>
        <v>25.00901443</v>
      </c>
      <c r="H45" s="79">
        <f t="shared" si="28"/>
        <v>1220.75</v>
      </c>
      <c r="I45" s="67">
        <f t="shared" ref="I45:I49" si="30">F45*H45</f>
        <v>24258.744</v>
      </c>
      <c r="J45" s="81">
        <v>1700.0</v>
      </c>
      <c r="K45" s="67">
        <f t="shared" ref="K45:K49" si="31">J45*F45</f>
        <v>33782.4</v>
      </c>
      <c r="L45" s="68">
        <f t="shared" ref="L45:L49" si="32">K45/1000</f>
        <v>33.7824</v>
      </c>
      <c r="M45" s="45"/>
    </row>
    <row r="46" ht="15.75" customHeight="1">
      <c r="A46" s="64" t="s">
        <v>116</v>
      </c>
      <c r="B46" s="65">
        <v>50.0</v>
      </c>
      <c r="C46" s="66">
        <v>70.0</v>
      </c>
      <c r="D46" s="66">
        <v>0.4</v>
      </c>
      <c r="E46" s="66">
        <v>0.0184</v>
      </c>
      <c r="F46" s="66">
        <f t="shared" si="29"/>
        <v>25.76</v>
      </c>
      <c r="G46" s="67">
        <f>F46*G44</f>
        <v>32.41909278</v>
      </c>
      <c r="H46" s="79">
        <f t="shared" si="28"/>
        <v>1220.75</v>
      </c>
      <c r="I46" s="67">
        <f t="shared" si="30"/>
        <v>31446.52</v>
      </c>
      <c r="J46" s="81">
        <v>1700.0</v>
      </c>
      <c r="K46" s="67">
        <f t="shared" si="31"/>
        <v>43792</v>
      </c>
      <c r="L46" s="68">
        <f t="shared" si="32"/>
        <v>43.792</v>
      </c>
      <c r="M46" s="45"/>
    </row>
    <row r="47" ht="15.75" customHeight="1">
      <c r="A47" s="64" t="s">
        <v>116</v>
      </c>
      <c r="B47" s="65">
        <v>60.0</v>
      </c>
      <c r="C47" s="66">
        <v>90.0</v>
      </c>
      <c r="D47" s="66">
        <v>0.5</v>
      </c>
      <c r="E47" s="66">
        <v>0.0184</v>
      </c>
      <c r="F47" s="66">
        <f t="shared" si="29"/>
        <v>49.68</v>
      </c>
      <c r="G47" s="67">
        <f>F47*G44</f>
        <v>62.52253608</v>
      </c>
      <c r="H47" s="79">
        <f t="shared" si="28"/>
        <v>1220.75</v>
      </c>
      <c r="I47" s="67">
        <f t="shared" si="30"/>
        <v>60646.86</v>
      </c>
      <c r="J47" s="81">
        <v>1700.0</v>
      </c>
      <c r="K47" s="67">
        <f t="shared" si="31"/>
        <v>84456</v>
      </c>
      <c r="L47" s="68">
        <f t="shared" si="32"/>
        <v>84.456</v>
      </c>
      <c r="M47" s="45"/>
    </row>
    <row r="48" ht="15.75" customHeight="1">
      <c r="A48" s="64" t="s">
        <v>116</v>
      </c>
      <c r="B48" s="71">
        <v>80.0</v>
      </c>
      <c r="C48" s="66">
        <v>110.0</v>
      </c>
      <c r="D48" s="66">
        <v>0.5</v>
      </c>
      <c r="E48" s="66">
        <v>0.0184</v>
      </c>
      <c r="F48" s="66">
        <f t="shared" si="29"/>
        <v>80.96</v>
      </c>
      <c r="G48" s="67">
        <f>F48*G44</f>
        <v>101.8885773</v>
      </c>
      <c r="H48" s="79">
        <f t="shared" si="28"/>
        <v>1220.75</v>
      </c>
      <c r="I48" s="67">
        <f t="shared" si="30"/>
        <v>98831.92</v>
      </c>
      <c r="J48" s="81">
        <v>1700.0</v>
      </c>
      <c r="K48" s="67">
        <f t="shared" si="31"/>
        <v>137632</v>
      </c>
      <c r="L48" s="68">
        <f t="shared" si="32"/>
        <v>137.632</v>
      </c>
      <c r="M48" s="45"/>
    </row>
    <row r="49" ht="15.75" customHeight="1">
      <c r="A49" s="64" t="s">
        <v>116</v>
      </c>
      <c r="B49" s="71">
        <v>90.0</v>
      </c>
      <c r="C49" s="66">
        <v>120.0</v>
      </c>
      <c r="D49" s="66">
        <v>0.6</v>
      </c>
      <c r="E49" s="66">
        <v>0.0184</v>
      </c>
      <c r="F49" s="66">
        <f t="shared" si="29"/>
        <v>119.232</v>
      </c>
      <c r="G49" s="67">
        <f>F49*G44</f>
        <v>150.0540866</v>
      </c>
      <c r="H49" s="79">
        <f t="shared" si="28"/>
        <v>1220.75</v>
      </c>
      <c r="I49" s="67">
        <f t="shared" si="30"/>
        <v>145552.464</v>
      </c>
      <c r="J49" s="81">
        <v>1700.0</v>
      </c>
      <c r="K49" s="67">
        <f t="shared" si="31"/>
        <v>202694.4</v>
      </c>
      <c r="L49" s="68">
        <f t="shared" si="32"/>
        <v>202.6944</v>
      </c>
      <c r="M49" s="45"/>
    </row>
    <row r="50" ht="15.7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31:E31"/>
    <mergeCell ref="B36:E36"/>
    <mergeCell ref="B37:E37"/>
    <mergeCell ref="B43:E43"/>
    <mergeCell ref="B44:E44"/>
    <mergeCell ref="B2:D2"/>
    <mergeCell ref="B3:E3"/>
    <mergeCell ref="B12:D12"/>
    <mergeCell ref="B13:E13"/>
    <mergeCell ref="B22:E22"/>
    <mergeCell ref="B23:E23"/>
    <mergeCell ref="B30:E30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2022-12-14T12:46:27Z</dcterms:created>
  <dc:creator>Esteban Zelalija</dc:creator>
</cp:coreProperties>
</file>